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charts/chartEx1.xml" ContentType="application/vnd.ms-office.chartex+xml"/>
  <Override PartName="/xl/charts/style3.xml" ContentType="application/vnd.ms-office.chartstyle+xml"/>
  <Override PartName="/xl/charts/colors3.xml" ContentType="application/vnd.ms-office.chartcolorstyle+xml"/>
  <Override PartName="/xl/drawings/drawing4.xml" ContentType="application/vnd.openxmlformats-officedocument.drawing+xml"/>
  <Override PartName="/xl/charts/chartEx2.xml" ContentType="application/vnd.ms-office.chartex+xml"/>
  <Override PartName="/xl/charts/style4.xml" ContentType="application/vnd.ms-office.chartstyle+xml"/>
  <Override PartName="/xl/charts/colors4.xml" ContentType="application/vnd.ms-office.chartcolorstyle+xml"/>
  <Override PartName="/xl/drawings/drawing5.xml" ContentType="application/vnd.openxmlformats-officedocument.drawing+xml"/>
  <Override PartName="/xl/charts/chart3.xml" ContentType="application/vnd.openxmlformats-officedocument.drawingml.chart+xml"/>
  <Override PartName="/xl/charts/style5.xml" ContentType="application/vnd.ms-office.chartstyle+xml"/>
  <Override PartName="/xl/charts/colors5.xml" ContentType="application/vnd.ms-office.chartcolorstyle+xml"/>
  <Override PartName="/xl/drawings/drawing6.xml" ContentType="application/vnd.openxmlformats-officedocument.drawing+xml"/>
  <Override PartName="/xl/charts/chart4.xml" ContentType="application/vnd.openxmlformats-officedocument.drawingml.chart+xml"/>
  <Override PartName="/xl/charts/style6.xml" ContentType="application/vnd.ms-office.chartstyle+xml"/>
  <Override PartName="/xl/charts/colors6.xml" ContentType="application/vnd.ms-office.chartcolorstyle+xml"/>
  <Override PartName="/xl/drawings/drawing7.xml" ContentType="application/vnd.openxmlformats-officedocument.drawing+xml"/>
  <Override PartName="/xl/charts/chart5.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defaultThemeVersion="166925"/>
  <mc:AlternateContent xmlns:mc="http://schemas.openxmlformats.org/markup-compatibility/2006">
    <mc:Choice Requires="x15">
      <x15ac:absPath xmlns:x15ac="http://schemas.microsoft.com/office/spreadsheetml/2010/11/ac" url="https://d.docs.live.net/0a43f3b83ca0919a/Documents/"/>
    </mc:Choice>
  </mc:AlternateContent>
  <xr:revisionPtr revIDLastSave="535" documentId="8_{A8E5B09D-787B-459D-91CB-87217DDE6DC7}" xr6:coauthVersionLast="47" xr6:coauthVersionMax="47" xr10:uidLastSave="{3FD535C0-E8A3-4BB9-9255-1A1CDF0837DC}"/>
  <bookViews>
    <workbookView xWindow="-103" yWindow="-103" windowWidth="22149" windowHeight="13200" tabRatio="774" firstSheet="4" activeTab="12" xr2:uid="{FB9050BA-16A8-4B28-B048-834DDB7463A7}"/>
  </bookViews>
  <sheets>
    <sheet name="Sheet1" sheetId="34" state="hidden" r:id="rId1"/>
    <sheet name="CPI" sheetId="2" r:id="rId2"/>
    <sheet name="category" sheetId="1" state="hidden" r:id="rId3"/>
    <sheet name="1.category-subcategory" sheetId="4" state="hidden" r:id="rId4"/>
    <sheet name="Ques 1" sheetId="5" r:id="rId5"/>
    <sheet name="CPI (2)" sheetId="15" state="hidden" r:id="rId6"/>
    <sheet name="Ques 2" sheetId="16" r:id="rId7"/>
    <sheet name="Ques3 A" sheetId="27" r:id="rId8"/>
    <sheet name="Ques3 B" sheetId="33" r:id="rId9"/>
    <sheet name="Ques 4" sheetId="30" r:id="rId10"/>
    <sheet name="Ques 5 Category" sheetId="32" r:id="rId11"/>
    <sheet name="Ques 5 Subategory" sheetId="41" r:id="rId12"/>
    <sheet name="Project Summary" sheetId="37" r:id="rId13"/>
  </sheets>
  <definedNames>
    <definedName name="_xlnm._FilterDatabase" localSheetId="1" hidden="1">CPI!$A$1:$AD$373</definedName>
    <definedName name="_xlnm._FilterDatabase" localSheetId="10" hidden="1">'Ques 5 Category'!$S$10:$T$15</definedName>
    <definedName name="_xlchart.v1.0" hidden="1">'Ques3 A'!$B$6:$B$16</definedName>
    <definedName name="_xlchart.v1.1" hidden="1">'Ques3 A'!$D$5</definedName>
    <definedName name="_xlchart.v1.2" hidden="1">'Ques3 A'!$D$6:$D$16</definedName>
    <definedName name="_xlchart.v1.3" hidden="1">'Ques3 B'!$B$6:$B$17</definedName>
    <definedName name="_xlchart.v1.4" hidden="1">'Ques3 B'!$E$5</definedName>
    <definedName name="_xlchart.v1.5" hidden="1">'Ques3 B'!$E$6:$E$17</definedName>
  </definedNames>
  <calcPr calcId="191029"/>
  <pivotCaches>
    <pivotCache cacheId="0" r:id="rId14"/>
    <pivotCache cacheId="1" r:id="rId15"/>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I9" i="41" l="1"/>
  <c r="T11" i="32"/>
  <c r="R8" i="30"/>
  <c r="BI14" i="41"/>
  <c r="BI35" i="41"/>
  <c r="BI34" i="41"/>
  <c r="BI33" i="41"/>
  <c r="BI32" i="41"/>
  <c r="BI31" i="41"/>
  <c r="BI30" i="41"/>
  <c r="BI29" i="41"/>
  <c r="BI28" i="41"/>
  <c r="BI27" i="41"/>
  <c r="BI26" i="41"/>
  <c r="BI24" i="41"/>
  <c r="BI23" i="41"/>
  <c r="BI22" i="41"/>
  <c r="BI21" i="41"/>
  <c r="BI20" i="41"/>
  <c r="BI19" i="41"/>
  <c r="BI18" i="41"/>
  <c r="BI17" i="41"/>
  <c r="BI16" i="41"/>
  <c r="BI15" i="41"/>
  <c r="BI13" i="41"/>
  <c r="BI12" i="41"/>
  <c r="BI10" i="41"/>
  <c r="T4" i="41"/>
  <c r="T5" i="41"/>
  <c r="T6" i="41"/>
  <c r="T7" i="41"/>
  <c r="T8" i="41"/>
  <c r="T9" i="41"/>
  <c r="T10" i="41"/>
  <c r="T11" i="41"/>
  <c r="T12" i="41"/>
  <c r="T13" i="41"/>
  <c r="T14" i="41"/>
  <c r="T15" i="41"/>
  <c r="T16" i="41"/>
  <c r="T17" i="41"/>
  <c r="T18" i="41"/>
  <c r="T19" i="41"/>
  <c r="T20" i="41"/>
  <c r="T21" i="41"/>
  <c r="T22" i="41"/>
  <c r="T23" i="41"/>
  <c r="T24" i="41"/>
  <c r="T25" i="41"/>
  <c r="T26" i="41"/>
  <c r="T27" i="41"/>
  <c r="T28" i="41"/>
  <c r="T29" i="41"/>
  <c r="T30" i="41"/>
  <c r="V4" i="41"/>
  <c r="V5" i="41"/>
  <c r="V6" i="41"/>
  <c r="V7" i="41"/>
  <c r="V8" i="41"/>
  <c r="V9" i="41"/>
  <c r="V10" i="41"/>
  <c r="V11" i="41"/>
  <c r="V12" i="41"/>
  <c r="V13" i="41"/>
  <c r="V14" i="41"/>
  <c r="V15" i="41"/>
  <c r="V16" i="41"/>
  <c r="V17" i="41"/>
  <c r="V18" i="41"/>
  <c r="V19" i="41"/>
  <c r="V20" i="41"/>
  <c r="V21" i="41"/>
  <c r="V22" i="41"/>
  <c r="V23" i="41"/>
  <c r="V24" i="41"/>
  <c r="V25" i="41"/>
  <c r="V26" i="41"/>
  <c r="V27" i="41"/>
  <c r="V28" i="41"/>
  <c r="V29" i="41"/>
  <c r="V30" i="41"/>
  <c r="X4" i="41"/>
  <c r="X5" i="41"/>
  <c r="X6" i="41"/>
  <c r="X7" i="41"/>
  <c r="X8" i="41"/>
  <c r="X9" i="41"/>
  <c r="X10" i="41"/>
  <c r="X11" i="41"/>
  <c r="X12" i="41"/>
  <c r="X13" i="41"/>
  <c r="X14" i="41"/>
  <c r="X15" i="41"/>
  <c r="X16" i="41"/>
  <c r="X17" i="41"/>
  <c r="X18" i="41"/>
  <c r="X19" i="41"/>
  <c r="X20" i="41"/>
  <c r="X21" i="41"/>
  <c r="X22" i="41"/>
  <c r="X23" i="41"/>
  <c r="X24" i="41"/>
  <c r="X25" i="41"/>
  <c r="X26" i="41"/>
  <c r="X27" i="41"/>
  <c r="X28" i="41"/>
  <c r="X29" i="41"/>
  <c r="X30" i="41"/>
  <c r="Z4" i="41"/>
  <c r="Z5" i="41"/>
  <c r="Z6" i="41"/>
  <c r="Z7" i="41"/>
  <c r="Z8" i="41"/>
  <c r="Z9" i="41"/>
  <c r="Z10" i="41"/>
  <c r="Z11" i="41"/>
  <c r="Z12" i="41"/>
  <c r="Z13" i="41"/>
  <c r="Z14" i="41"/>
  <c r="Z15" i="41"/>
  <c r="Z16" i="41"/>
  <c r="Z17" i="41"/>
  <c r="Z18" i="41"/>
  <c r="Z19" i="41"/>
  <c r="Z20" i="41"/>
  <c r="Z21" i="41"/>
  <c r="Z22" i="41"/>
  <c r="Z23" i="41"/>
  <c r="Z24" i="41"/>
  <c r="Z25" i="41"/>
  <c r="Z26" i="41"/>
  <c r="Z27" i="41"/>
  <c r="Z28" i="41"/>
  <c r="Z29" i="41"/>
  <c r="Z30" i="41"/>
  <c r="AB4" i="41"/>
  <c r="AB5" i="41"/>
  <c r="AB6" i="41"/>
  <c r="AB7" i="41"/>
  <c r="AB8" i="41"/>
  <c r="AB9" i="41"/>
  <c r="AB10" i="41"/>
  <c r="AB11" i="41"/>
  <c r="AB12" i="41"/>
  <c r="AB13" i="41"/>
  <c r="AB14" i="41"/>
  <c r="AB15" i="41"/>
  <c r="AB16" i="41"/>
  <c r="AB17" i="41"/>
  <c r="AB18" i="41"/>
  <c r="AB19" i="41"/>
  <c r="AB20" i="41"/>
  <c r="AB21" i="41"/>
  <c r="AB22" i="41"/>
  <c r="AB23" i="41"/>
  <c r="AB24" i="41"/>
  <c r="AB25" i="41"/>
  <c r="AB26" i="41"/>
  <c r="AB27" i="41"/>
  <c r="AB28" i="41"/>
  <c r="AB29" i="41"/>
  <c r="AB30" i="41"/>
  <c r="AD4" i="41"/>
  <c r="AD5" i="41"/>
  <c r="AD6" i="41"/>
  <c r="AD7" i="41"/>
  <c r="AD8" i="41"/>
  <c r="AD9" i="41"/>
  <c r="AD10" i="41"/>
  <c r="AD11" i="41"/>
  <c r="AD12" i="41"/>
  <c r="AD13" i="41"/>
  <c r="AD14" i="41"/>
  <c r="AD15" i="41"/>
  <c r="AD16" i="41"/>
  <c r="AD17" i="41"/>
  <c r="AD18" i="41"/>
  <c r="AD19" i="41"/>
  <c r="AD20" i="41"/>
  <c r="AD21" i="41"/>
  <c r="AD22" i="41"/>
  <c r="AD23" i="41"/>
  <c r="AD24" i="41"/>
  <c r="AD25" i="41"/>
  <c r="AD26" i="41"/>
  <c r="AD27" i="41"/>
  <c r="AD28" i="41"/>
  <c r="AD29" i="41"/>
  <c r="AD30" i="41"/>
  <c r="Z3" i="41"/>
  <c r="AB3" i="41"/>
  <c r="AD3" i="41"/>
  <c r="X3" i="41"/>
  <c r="V3" i="41"/>
  <c r="T3" i="41"/>
  <c r="R4" i="41"/>
  <c r="R5" i="41"/>
  <c r="R6" i="41"/>
  <c r="R7" i="41"/>
  <c r="R8" i="41"/>
  <c r="R9" i="41"/>
  <c r="R10" i="41"/>
  <c r="R11" i="41"/>
  <c r="R12" i="41"/>
  <c r="R13" i="41"/>
  <c r="R14" i="41"/>
  <c r="R15" i="41"/>
  <c r="R16" i="41"/>
  <c r="R17" i="41"/>
  <c r="R18" i="41"/>
  <c r="R19" i="41"/>
  <c r="R20" i="41"/>
  <c r="R21" i="41"/>
  <c r="R22" i="41"/>
  <c r="R23" i="41"/>
  <c r="R24" i="41"/>
  <c r="R25" i="41"/>
  <c r="R26" i="41"/>
  <c r="R27" i="41"/>
  <c r="R28" i="41"/>
  <c r="R29" i="41"/>
  <c r="R30" i="41"/>
  <c r="P4" i="41"/>
  <c r="P5" i="41"/>
  <c r="P6" i="41"/>
  <c r="P7" i="41"/>
  <c r="P8" i="41"/>
  <c r="P9" i="41"/>
  <c r="P10" i="41"/>
  <c r="P11" i="41"/>
  <c r="P12" i="41"/>
  <c r="P13" i="41"/>
  <c r="P14" i="41"/>
  <c r="P15" i="41"/>
  <c r="P16" i="41"/>
  <c r="P17" i="41"/>
  <c r="P18" i="41"/>
  <c r="P19" i="41"/>
  <c r="P20" i="41"/>
  <c r="P21" i="41"/>
  <c r="P22" i="41"/>
  <c r="P23" i="41"/>
  <c r="P24" i="41"/>
  <c r="P25" i="41"/>
  <c r="P26" i="41"/>
  <c r="P27" i="41"/>
  <c r="P28" i="41"/>
  <c r="P29" i="41"/>
  <c r="P30" i="41"/>
  <c r="N4" i="41"/>
  <c r="N5" i="41"/>
  <c r="N6" i="41"/>
  <c r="N7" i="41"/>
  <c r="N8" i="41"/>
  <c r="N9" i="41"/>
  <c r="N10" i="41"/>
  <c r="N11" i="41"/>
  <c r="N12" i="41"/>
  <c r="N13" i="41"/>
  <c r="N14" i="41"/>
  <c r="N15" i="41"/>
  <c r="N16" i="41"/>
  <c r="N17" i="41"/>
  <c r="N18" i="41"/>
  <c r="N19" i="41"/>
  <c r="N20" i="41"/>
  <c r="N21" i="41"/>
  <c r="N22" i="41"/>
  <c r="N23" i="41"/>
  <c r="N24" i="41"/>
  <c r="N25" i="41"/>
  <c r="N26" i="41"/>
  <c r="N27" i="41"/>
  <c r="N28" i="41"/>
  <c r="N29" i="41"/>
  <c r="N30" i="41"/>
  <c r="R3" i="41"/>
  <c r="P3" i="41"/>
  <c r="N3" i="41"/>
  <c r="AF4" i="41"/>
  <c r="AF5" i="41"/>
  <c r="AF6" i="41"/>
  <c r="AF7" i="41"/>
  <c r="AF8" i="41"/>
  <c r="AF9" i="41"/>
  <c r="AF10" i="41"/>
  <c r="AF11" i="41"/>
  <c r="AF12" i="41"/>
  <c r="AF13" i="41"/>
  <c r="AF14" i="41"/>
  <c r="AF15" i="41"/>
  <c r="AF16" i="41"/>
  <c r="AF17" i="41"/>
  <c r="AF18" i="41"/>
  <c r="AF19" i="41"/>
  <c r="AF20" i="41"/>
  <c r="AF21" i="41"/>
  <c r="AF22" i="41"/>
  <c r="AF23" i="41"/>
  <c r="AF24" i="41"/>
  <c r="AF25" i="41"/>
  <c r="AF26" i="41"/>
  <c r="AF27" i="41"/>
  <c r="AF28" i="41"/>
  <c r="AF29" i="41"/>
  <c r="AF30" i="41"/>
  <c r="AF3" i="41"/>
  <c r="AH4" i="41"/>
  <c r="AH5" i="41"/>
  <c r="AH6" i="41"/>
  <c r="AH7" i="41"/>
  <c r="AH8" i="41"/>
  <c r="AH9" i="41"/>
  <c r="AH10" i="41"/>
  <c r="AH11" i="41"/>
  <c r="AH12" i="41"/>
  <c r="AH13" i="41"/>
  <c r="AH14" i="41"/>
  <c r="AH15" i="41"/>
  <c r="AH16" i="41"/>
  <c r="AH17" i="41"/>
  <c r="AH18" i="41"/>
  <c r="AH19" i="41"/>
  <c r="AH20" i="41"/>
  <c r="AH21" i="41"/>
  <c r="AH22" i="41"/>
  <c r="AH23" i="41"/>
  <c r="AH24" i="41"/>
  <c r="AH25" i="41"/>
  <c r="AH26" i="41"/>
  <c r="AH27" i="41"/>
  <c r="AH28" i="41"/>
  <c r="AH29" i="41"/>
  <c r="AH30" i="41"/>
  <c r="AH3" i="41"/>
  <c r="AJ4" i="41"/>
  <c r="AJ5" i="41"/>
  <c r="AJ6" i="41"/>
  <c r="AJ7" i="41"/>
  <c r="AJ8" i="41"/>
  <c r="AJ9" i="41"/>
  <c r="AJ10" i="41"/>
  <c r="AJ11" i="41"/>
  <c r="AJ12" i="41"/>
  <c r="AJ13" i="41"/>
  <c r="AJ14" i="41"/>
  <c r="AJ15" i="41"/>
  <c r="AJ16" i="41"/>
  <c r="AJ17" i="41"/>
  <c r="AJ18" i="41"/>
  <c r="AJ19" i="41"/>
  <c r="AJ20" i="41"/>
  <c r="AJ21" i="41"/>
  <c r="AJ22" i="41"/>
  <c r="AJ23" i="41"/>
  <c r="AJ24" i="41"/>
  <c r="AJ25" i="41"/>
  <c r="AJ26" i="41"/>
  <c r="AJ27" i="41"/>
  <c r="AJ28" i="41"/>
  <c r="AJ29" i="41"/>
  <c r="AJ30" i="41"/>
  <c r="AJ3" i="41"/>
  <c r="AL4" i="41"/>
  <c r="AL5" i="41"/>
  <c r="AL6" i="41"/>
  <c r="AL7" i="41"/>
  <c r="AL8" i="41"/>
  <c r="AL9" i="41"/>
  <c r="AL10" i="41"/>
  <c r="AL11" i="41"/>
  <c r="AL12" i="41"/>
  <c r="AL13" i="41"/>
  <c r="AL14" i="41"/>
  <c r="AL15" i="41"/>
  <c r="AL16" i="41"/>
  <c r="AL17" i="41"/>
  <c r="AL18" i="41"/>
  <c r="AL19" i="41"/>
  <c r="AL20" i="41"/>
  <c r="AL21" i="41"/>
  <c r="AL22" i="41"/>
  <c r="AL23" i="41"/>
  <c r="AL24" i="41"/>
  <c r="AL25" i="41"/>
  <c r="AL26" i="41"/>
  <c r="AL27" i="41"/>
  <c r="AL28" i="41"/>
  <c r="AL29" i="41"/>
  <c r="AL30" i="41"/>
  <c r="AL3" i="41"/>
  <c r="AN4" i="41"/>
  <c r="AN5" i="41"/>
  <c r="AN6" i="41"/>
  <c r="AN7" i="41"/>
  <c r="AN8" i="41"/>
  <c r="AN9" i="41"/>
  <c r="AN10" i="41"/>
  <c r="AN11" i="41"/>
  <c r="AN12" i="41"/>
  <c r="AN13" i="41"/>
  <c r="AN14" i="41"/>
  <c r="AN15" i="41"/>
  <c r="AN16" i="41"/>
  <c r="AN17" i="41"/>
  <c r="AN18" i="41"/>
  <c r="AN19" i="41"/>
  <c r="AN20" i="41"/>
  <c r="AN21" i="41"/>
  <c r="AN22" i="41"/>
  <c r="AN23" i="41"/>
  <c r="AN24" i="41"/>
  <c r="AN25" i="41"/>
  <c r="AN26" i="41"/>
  <c r="AN27" i="41"/>
  <c r="AN28" i="41"/>
  <c r="AN29" i="41"/>
  <c r="AN30" i="41"/>
  <c r="AN3" i="41"/>
  <c r="AP4" i="41"/>
  <c r="AP5" i="41"/>
  <c r="AP6" i="41"/>
  <c r="AP7" i="41"/>
  <c r="AP8" i="41"/>
  <c r="AP9" i="41"/>
  <c r="AP10" i="41"/>
  <c r="AP11" i="41"/>
  <c r="AP12" i="41"/>
  <c r="AP13" i="41"/>
  <c r="AP14" i="41"/>
  <c r="AP15" i="41"/>
  <c r="AP16" i="41"/>
  <c r="AP17" i="41"/>
  <c r="AP18" i="41"/>
  <c r="AP19" i="41"/>
  <c r="AP20" i="41"/>
  <c r="AP21" i="41"/>
  <c r="AP22" i="41"/>
  <c r="AP23" i="41"/>
  <c r="AP24" i="41"/>
  <c r="AP25" i="41"/>
  <c r="AP26" i="41"/>
  <c r="AP27" i="41"/>
  <c r="AP28" i="41"/>
  <c r="AP29" i="41"/>
  <c r="AP30" i="41"/>
  <c r="AP3" i="41"/>
  <c r="AR4" i="41"/>
  <c r="AR5" i="41"/>
  <c r="AR6" i="41"/>
  <c r="AR7" i="41"/>
  <c r="AR8" i="41"/>
  <c r="AR9" i="41"/>
  <c r="AR10" i="41"/>
  <c r="AR11" i="41"/>
  <c r="AR12" i="41"/>
  <c r="AR13" i="41"/>
  <c r="AR14" i="41"/>
  <c r="AR15" i="41"/>
  <c r="AR16" i="41"/>
  <c r="AR17" i="41"/>
  <c r="AR18" i="41"/>
  <c r="AR19" i="41"/>
  <c r="AR20" i="41"/>
  <c r="AR21" i="41"/>
  <c r="AR22" i="41"/>
  <c r="AR23" i="41"/>
  <c r="AR24" i="41"/>
  <c r="AR25" i="41"/>
  <c r="AR26" i="41"/>
  <c r="AR27" i="41"/>
  <c r="AR28" i="41"/>
  <c r="AR29" i="41"/>
  <c r="AR30" i="41"/>
  <c r="AR3" i="41"/>
  <c r="AT4" i="41"/>
  <c r="AT5" i="41"/>
  <c r="AT6" i="41"/>
  <c r="AT7" i="41"/>
  <c r="AT8" i="41"/>
  <c r="AT9" i="41"/>
  <c r="AT10" i="41"/>
  <c r="AT11" i="41"/>
  <c r="AT12" i="41"/>
  <c r="AT13" i="41"/>
  <c r="AT14" i="41"/>
  <c r="AT15" i="41"/>
  <c r="AT16" i="41"/>
  <c r="AT17" i="41"/>
  <c r="AT18" i="41"/>
  <c r="AT19" i="41"/>
  <c r="AT20" i="41"/>
  <c r="AT21" i="41"/>
  <c r="AT22" i="41"/>
  <c r="AT23" i="41"/>
  <c r="AT24" i="41"/>
  <c r="AT25" i="41"/>
  <c r="AT26" i="41"/>
  <c r="AT27" i="41"/>
  <c r="AT28" i="41"/>
  <c r="AT29" i="41"/>
  <c r="AT30" i="41"/>
  <c r="AT3" i="41"/>
  <c r="AV4" i="41"/>
  <c r="AV5" i="41"/>
  <c r="AV6" i="41"/>
  <c r="AV7" i="41"/>
  <c r="AV8" i="41"/>
  <c r="AV9" i="41"/>
  <c r="AV10" i="41"/>
  <c r="AV11" i="41"/>
  <c r="AV12" i="41"/>
  <c r="AV13" i="41"/>
  <c r="AV14" i="41"/>
  <c r="AV15" i="41"/>
  <c r="AV16" i="41"/>
  <c r="AV17" i="41"/>
  <c r="AV18" i="41"/>
  <c r="AV19" i="41"/>
  <c r="AV20" i="41"/>
  <c r="AV21" i="41"/>
  <c r="AV22" i="41"/>
  <c r="AV23" i="41"/>
  <c r="AV24" i="41"/>
  <c r="AV25" i="41"/>
  <c r="AV26" i="41"/>
  <c r="AV27" i="41"/>
  <c r="AV28" i="41"/>
  <c r="AV29" i="41"/>
  <c r="AV30" i="41"/>
  <c r="AV3" i="41"/>
  <c r="AX4" i="41"/>
  <c r="AX5" i="41"/>
  <c r="AX6" i="41"/>
  <c r="AX7" i="41"/>
  <c r="AX8" i="41"/>
  <c r="AX9" i="41"/>
  <c r="AX10" i="41"/>
  <c r="AX11" i="41"/>
  <c r="AX12" i="41"/>
  <c r="AX13" i="41"/>
  <c r="AX14" i="41"/>
  <c r="AX15" i="41"/>
  <c r="AX16" i="41"/>
  <c r="AX17" i="41"/>
  <c r="AX18" i="41"/>
  <c r="AX19" i="41"/>
  <c r="AX20" i="41"/>
  <c r="AX21" i="41"/>
  <c r="AX22" i="41"/>
  <c r="AX23" i="41"/>
  <c r="AX24" i="41"/>
  <c r="AX25" i="41"/>
  <c r="AX26" i="41"/>
  <c r="AX27" i="41"/>
  <c r="AX28" i="41"/>
  <c r="AX29" i="41"/>
  <c r="AX30" i="41"/>
  <c r="AX3" i="41"/>
  <c r="AZ4" i="41"/>
  <c r="AZ5" i="41"/>
  <c r="AZ6" i="41"/>
  <c r="AZ7" i="41"/>
  <c r="AZ8" i="41"/>
  <c r="AZ9" i="41"/>
  <c r="AZ10" i="41"/>
  <c r="AZ11" i="41"/>
  <c r="AZ12" i="41"/>
  <c r="AZ13" i="41"/>
  <c r="AZ14" i="41"/>
  <c r="AZ15" i="41"/>
  <c r="AZ16" i="41"/>
  <c r="AZ17" i="41"/>
  <c r="AZ18" i="41"/>
  <c r="AZ19" i="41"/>
  <c r="AZ20" i="41"/>
  <c r="AZ21" i="41"/>
  <c r="AZ22" i="41"/>
  <c r="AZ23" i="41"/>
  <c r="AZ24" i="41"/>
  <c r="AZ25" i="41"/>
  <c r="AZ26" i="41"/>
  <c r="AZ27" i="41"/>
  <c r="AZ28" i="41"/>
  <c r="AZ29" i="41"/>
  <c r="AZ30" i="41"/>
  <c r="AZ3" i="41"/>
  <c r="BB4" i="41"/>
  <c r="BB5" i="41"/>
  <c r="BB6" i="41"/>
  <c r="BB7" i="41"/>
  <c r="BB8" i="41"/>
  <c r="BB9" i="41"/>
  <c r="BB10" i="41"/>
  <c r="BB11" i="41"/>
  <c r="BB12" i="41"/>
  <c r="BB13" i="41"/>
  <c r="BB14" i="41"/>
  <c r="BB15" i="41"/>
  <c r="BB16" i="41"/>
  <c r="BB17" i="41"/>
  <c r="BB18" i="41"/>
  <c r="BB19" i="41"/>
  <c r="BB20" i="41"/>
  <c r="BB21" i="41"/>
  <c r="BB22" i="41"/>
  <c r="BB23" i="41"/>
  <c r="BB24" i="41"/>
  <c r="BB25" i="41"/>
  <c r="BB26" i="41"/>
  <c r="BB27" i="41"/>
  <c r="BB28" i="41"/>
  <c r="BB29" i="41"/>
  <c r="BB30" i="41"/>
  <c r="BB3" i="41"/>
  <c r="BD4" i="41"/>
  <c r="BD5" i="41"/>
  <c r="BD6" i="41"/>
  <c r="BD7" i="41"/>
  <c r="BD8" i="41"/>
  <c r="BD9" i="41"/>
  <c r="BD10" i="41"/>
  <c r="BD11" i="41"/>
  <c r="BD12" i="41"/>
  <c r="BD13" i="41"/>
  <c r="BD14" i="41"/>
  <c r="BD15" i="41"/>
  <c r="BD16" i="41"/>
  <c r="BD17" i="41"/>
  <c r="BD18" i="41"/>
  <c r="BD19" i="41"/>
  <c r="BD20" i="41"/>
  <c r="BD21" i="41"/>
  <c r="BD22" i="41"/>
  <c r="BD23" i="41"/>
  <c r="BD24" i="41"/>
  <c r="BD25" i="41"/>
  <c r="BD26" i="41"/>
  <c r="BD27" i="41"/>
  <c r="BD28" i="41"/>
  <c r="BD29" i="41"/>
  <c r="BD30" i="41"/>
  <c r="BD3" i="41"/>
  <c r="BF4" i="41"/>
  <c r="BF5" i="41"/>
  <c r="BF6" i="41"/>
  <c r="BF7" i="41"/>
  <c r="BF8" i="41"/>
  <c r="BF9" i="41"/>
  <c r="BF10" i="41"/>
  <c r="BF11" i="41"/>
  <c r="BF12" i="41"/>
  <c r="BF13" i="41"/>
  <c r="BF14" i="41"/>
  <c r="BF15" i="41"/>
  <c r="BF16" i="41"/>
  <c r="BF17" i="41"/>
  <c r="BF18" i="41"/>
  <c r="BF19" i="41"/>
  <c r="BF20" i="41"/>
  <c r="BF21" i="41"/>
  <c r="BF22" i="41"/>
  <c r="BF23" i="41"/>
  <c r="BF24" i="41"/>
  <c r="BF25" i="41"/>
  <c r="BF26" i="41"/>
  <c r="BF27" i="41"/>
  <c r="BF28" i="41"/>
  <c r="BF29" i="41"/>
  <c r="BF30" i="41"/>
  <c r="BF3" i="41"/>
  <c r="L4" i="41"/>
  <c r="L5" i="41"/>
  <c r="L6" i="41"/>
  <c r="L7" i="41"/>
  <c r="L8" i="41"/>
  <c r="L9" i="41"/>
  <c r="L10" i="41"/>
  <c r="L11" i="41"/>
  <c r="L12" i="41"/>
  <c r="L13" i="41"/>
  <c r="L14" i="41"/>
  <c r="L15" i="41"/>
  <c r="L16" i="41"/>
  <c r="L17" i="41"/>
  <c r="L18" i="41"/>
  <c r="L19" i="41"/>
  <c r="L20" i="41"/>
  <c r="L21" i="41"/>
  <c r="L22" i="41"/>
  <c r="L23" i="41"/>
  <c r="L24" i="41"/>
  <c r="L25" i="41"/>
  <c r="L26" i="41"/>
  <c r="L27" i="41"/>
  <c r="L28" i="41"/>
  <c r="L29" i="41"/>
  <c r="L30" i="41"/>
  <c r="J4" i="41"/>
  <c r="J5" i="41"/>
  <c r="J6" i="41"/>
  <c r="J7" i="41"/>
  <c r="J8" i="41"/>
  <c r="J9" i="41"/>
  <c r="J10" i="41"/>
  <c r="J11" i="41"/>
  <c r="J12" i="41"/>
  <c r="J13" i="41"/>
  <c r="J14" i="41"/>
  <c r="J15" i="41"/>
  <c r="J16" i="41"/>
  <c r="J17" i="41"/>
  <c r="J18" i="41"/>
  <c r="J19" i="41"/>
  <c r="J20" i="41"/>
  <c r="J21" i="41"/>
  <c r="J22" i="41"/>
  <c r="J23" i="41"/>
  <c r="J24" i="41"/>
  <c r="J25" i="41"/>
  <c r="J26" i="41"/>
  <c r="J27" i="41"/>
  <c r="J28" i="41"/>
  <c r="J29" i="41"/>
  <c r="J30" i="41"/>
  <c r="H4" i="41"/>
  <c r="H5" i="41"/>
  <c r="H6" i="41"/>
  <c r="H7" i="41"/>
  <c r="H8" i="41"/>
  <c r="H9" i="41"/>
  <c r="H10" i="41"/>
  <c r="H11" i="41"/>
  <c r="H12" i="41"/>
  <c r="H13" i="41"/>
  <c r="H14" i="41"/>
  <c r="H15" i="41"/>
  <c r="H16" i="41"/>
  <c r="H17" i="41"/>
  <c r="H18" i="41"/>
  <c r="H19" i="41"/>
  <c r="H20" i="41"/>
  <c r="H21" i="41"/>
  <c r="H22" i="41"/>
  <c r="H23" i="41"/>
  <c r="H24" i="41"/>
  <c r="H25" i="41"/>
  <c r="H26" i="41"/>
  <c r="H27" i="41"/>
  <c r="H28" i="41"/>
  <c r="H29" i="41"/>
  <c r="H30" i="41"/>
  <c r="L3" i="41"/>
  <c r="J3" i="41"/>
  <c r="H3" i="41"/>
  <c r="F4" i="41"/>
  <c r="F5" i="41"/>
  <c r="F6" i="41"/>
  <c r="F7" i="41"/>
  <c r="F8" i="41"/>
  <c r="F9" i="41"/>
  <c r="F10" i="41"/>
  <c r="F11" i="41"/>
  <c r="F12" i="41"/>
  <c r="F13" i="41"/>
  <c r="F14" i="41"/>
  <c r="F15" i="41"/>
  <c r="F16" i="41"/>
  <c r="F17" i="41"/>
  <c r="F18" i="41"/>
  <c r="F19" i="41"/>
  <c r="F20" i="41"/>
  <c r="F21" i="41"/>
  <c r="F22" i="41"/>
  <c r="F23" i="41"/>
  <c r="F24" i="41"/>
  <c r="F25" i="41"/>
  <c r="F26" i="41"/>
  <c r="F27" i="41"/>
  <c r="F28" i="41"/>
  <c r="F29" i="41"/>
  <c r="F30" i="41"/>
  <c r="F3" i="41"/>
  <c r="D4" i="41"/>
  <c r="D5" i="41"/>
  <c r="D6" i="41"/>
  <c r="D7" i="41"/>
  <c r="D8" i="41"/>
  <c r="D9" i="41"/>
  <c r="D10" i="41"/>
  <c r="D11" i="41"/>
  <c r="D12" i="41"/>
  <c r="D13" i="41"/>
  <c r="D14" i="41"/>
  <c r="D15" i="41"/>
  <c r="D16" i="41"/>
  <c r="D17" i="41"/>
  <c r="D18" i="41"/>
  <c r="D19" i="41"/>
  <c r="D20" i="41"/>
  <c r="D21" i="41"/>
  <c r="D22" i="41"/>
  <c r="D23" i="41"/>
  <c r="D24" i="41"/>
  <c r="D25" i="41"/>
  <c r="D26" i="41"/>
  <c r="D27" i="41"/>
  <c r="D28" i="41"/>
  <c r="D29" i="41"/>
  <c r="D30" i="41"/>
  <c r="D3" i="41"/>
  <c r="P4" i="32"/>
  <c r="P5" i="32"/>
  <c r="P6" i="32"/>
  <c r="P7" i="32"/>
  <c r="P8" i="32"/>
  <c r="P9" i="32"/>
  <c r="P10" i="32"/>
  <c r="P11" i="32"/>
  <c r="P12" i="32"/>
  <c r="P13" i="32"/>
  <c r="P14" i="32"/>
  <c r="P15" i="32"/>
  <c r="P16" i="32"/>
  <c r="P17" i="32"/>
  <c r="P18" i="32"/>
  <c r="P19" i="32"/>
  <c r="P20" i="32"/>
  <c r="P21" i="32"/>
  <c r="P22" i="32"/>
  <c r="P23" i="32"/>
  <c r="P24" i="32"/>
  <c r="P25" i="32"/>
  <c r="P26" i="32"/>
  <c r="P27" i="32"/>
  <c r="P28" i="32"/>
  <c r="P29" i="32"/>
  <c r="P30" i="32"/>
  <c r="P3" i="32"/>
  <c r="J3" i="32"/>
  <c r="BI11" i="41" l="1"/>
  <c r="BI25" i="41"/>
  <c r="E17" i="33"/>
  <c r="E16" i="33"/>
  <c r="E15" i="33"/>
  <c r="E14" i="33"/>
  <c r="E13" i="33"/>
  <c r="E12" i="33"/>
  <c r="E11" i="33"/>
  <c r="E10" i="33"/>
  <c r="E9" i="33"/>
  <c r="E8" i="33"/>
  <c r="E7" i="33"/>
  <c r="E6" i="33"/>
  <c r="Q4" i="32"/>
  <c r="Q5" i="32"/>
  <c r="Q6" i="32"/>
  <c r="Q7" i="32"/>
  <c r="Q8" i="32"/>
  <c r="Q9" i="32"/>
  <c r="Q10" i="32"/>
  <c r="Q11" i="32"/>
  <c r="Q12" i="32"/>
  <c r="Q13" i="32"/>
  <c r="Q14" i="32"/>
  <c r="Q15" i="32"/>
  <c r="Q16" i="32"/>
  <c r="Q17" i="32"/>
  <c r="Q18" i="32"/>
  <c r="Q19" i="32"/>
  <c r="Q20" i="32"/>
  <c r="Q21" i="32"/>
  <c r="Q22" i="32"/>
  <c r="Q23" i="32"/>
  <c r="Q24" i="32"/>
  <c r="Q25" i="32"/>
  <c r="Q26" i="32"/>
  <c r="Q27" i="32"/>
  <c r="Q28" i="32"/>
  <c r="Q29" i="32"/>
  <c r="Q30" i="32"/>
  <c r="Q3" i="32"/>
  <c r="O17" i="32"/>
  <c r="O18" i="32"/>
  <c r="O19" i="32"/>
  <c r="O20" i="32"/>
  <c r="O21" i="32"/>
  <c r="O22" i="32"/>
  <c r="O23" i="32"/>
  <c r="O24" i="32"/>
  <c r="O25" i="32"/>
  <c r="O26" i="32"/>
  <c r="O27" i="32"/>
  <c r="O28" i="32"/>
  <c r="O29" i="32"/>
  <c r="O30" i="32"/>
  <c r="O16" i="32"/>
  <c r="O4" i="32"/>
  <c r="O5" i="32"/>
  <c r="O6" i="32"/>
  <c r="O7" i="32"/>
  <c r="O8" i="32"/>
  <c r="O9" i="32"/>
  <c r="O10" i="32"/>
  <c r="O11" i="32"/>
  <c r="O12" i="32"/>
  <c r="O13" i="32"/>
  <c r="O14" i="32"/>
  <c r="O15" i="32"/>
  <c r="O3" i="32"/>
  <c r="N4" i="32"/>
  <c r="N5" i="32"/>
  <c r="N6" i="32"/>
  <c r="N7" i="32"/>
  <c r="N8" i="32"/>
  <c r="N9" i="32"/>
  <c r="N10" i="32"/>
  <c r="N11" i="32"/>
  <c r="N12" i="32"/>
  <c r="N13" i="32"/>
  <c r="N14" i="32"/>
  <c r="N15" i="32"/>
  <c r="N16" i="32"/>
  <c r="N17" i="32"/>
  <c r="N18" i="32"/>
  <c r="N19" i="32"/>
  <c r="N20" i="32"/>
  <c r="N21" i="32"/>
  <c r="N22" i="32"/>
  <c r="N23" i="32"/>
  <c r="N24" i="32"/>
  <c r="N25" i="32"/>
  <c r="N26" i="32"/>
  <c r="N27" i="32"/>
  <c r="N28" i="32"/>
  <c r="N29" i="32"/>
  <c r="N30" i="32"/>
  <c r="N3" i="32"/>
  <c r="M4" i="32"/>
  <c r="M5" i="32"/>
  <c r="M6" i="32"/>
  <c r="M7" i="32"/>
  <c r="M8" i="32"/>
  <c r="M9" i="32"/>
  <c r="M10" i="32"/>
  <c r="M11" i="32"/>
  <c r="M12" i="32"/>
  <c r="M13" i="32"/>
  <c r="M14" i="32"/>
  <c r="M15" i="32"/>
  <c r="M16" i="32"/>
  <c r="M17" i="32"/>
  <c r="M18" i="32"/>
  <c r="M19" i="32"/>
  <c r="M20" i="32"/>
  <c r="M21" i="32"/>
  <c r="M22" i="32"/>
  <c r="M23" i="32"/>
  <c r="M24" i="32"/>
  <c r="M25" i="32"/>
  <c r="M26" i="32"/>
  <c r="M27" i="32"/>
  <c r="M28" i="32"/>
  <c r="M29" i="32"/>
  <c r="M30" i="32"/>
  <c r="M3" i="32"/>
  <c r="L4" i="32"/>
  <c r="L5" i="32"/>
  <c r="L6" i="32"/>
  <c r="L7" i="32"/>
  <c r="L8" i="32"/>
  <c r="L9" i="32"/>
  <c r="L10" i="32"/>
  <c r="L11" i="32"/>
  <c r="L12" i="32"/>
  <c r="L13" i="32"/>
  <c r="L14" i="32"/>
  <c r="L15" i="32"/>
  <c r="L16" i="32"/>
  <c r="L17" i="32"/>
  <c r="L18" i="32"/>
  <c r="L19" i="32"/>
  <c r="L20" i="32"/>
  <c r="L21" i="32"/>
  <c r="L22" i="32"/>
  <c r="L23" i="32"/>
  <c r="L24" i="32"/>
  <c r="L25" i="32"/>
  <c r="L26" i="32"/>
  <c r="L27" i="32"/>
  <c r="L28" i="32"/>
  <c r="L29" i="32"/>
  <c r="L30" i="32"/>
  <c r="L3" i="32"/>
  <c r="K4" i="32"/>
  <c r="K5" i="32"/>
  <c r="K6" i="32"/>
  <c r="K7" i="32"/>
  <c r="K8" i="32"/>
  <c r="K9" i="32"/>
  <c r="K10" i="32"/>
  <c r="K11" i="32"/>
  <c r="K12" i="32"/>
  <c r="K13" i="32"/>
  <c r="K14" i="32"/>
  <c r="K15" i="32"/>
  <c r="K16" i="32"/>
  <c r="K17" i="32"/>
  <c r="K18" i="32"/>
  <c r="K19" i="32"/>
  <c r="K20" i="32"/>
  <c r="K21" i="32"/>
  <c r="K22" i="32"/>
  <c r="K23" i="32"/>
  <c r="K24" i="32"/>
  <c r="K25" i="32"/>
  <c r="K26" i="32"/>
  <c r="K27" i="32"/>
  <c r="K28" i="32"/>
  <c r="K29" i="32"/>
  <c r="K30" i="32"/>
  <c r="K3" i="32"/>
  <c r="J4" i="32"/>
  <c r="J5" i="32"/>
  <c r="J6" i="32"/>
  <c r="J7" i="32"/>
  <c r="J8" i="32"/>
  <c r="J9" i="32"/>
  <c r="J10" i="32"/>
  <c r="J11" i="32"/>
  <c r="J12" i="32"/>
  <c r="J13" i="32"/>
  <c r="J14" i="32"/>
  <c r="J15" i="32"/>
  <c r="J16" i="32"/>
  <c r="J17" i="32"/>
  <c r="J18" i="32"/>
  <c r="J19" i="32"/>
  <c r="J20" i="32"/>
  <c r="J21" i="32"/>
  <c r="J22" i="32"/>
  <c r="J23" i="32"/>
  <c r="J24" i="32"/>
  <c r="J25" i="32"/>
  <c r="J26" i="32"/>
  <c r="J27" i="32"/>
  <c r="J28" i="32"/>
  <c r="J29" i="32"/>
  <c r="J30" i="32"/>
  <c r="R13" i="30"/>
  <c r="Q13" i="30"/>
  <c r="P13" i="30"/>
  <c r="R12" i="30"/>
  <c r="Q12" i="30"/>
  <c r="P12" i="30"/>
  <c r="R11" i="30"/>
  <c r="Q11" i="30"/>
  <c r="P11" i="30"/>
  <c r="R10" i="30"/>
  <c r="Q10" i="30"/>
  <c r="P10" i="30"/>
  <c r="R9" i="30"/>
  <c r="Q9" i="30"/>
  <c r="P9" i="30"/>
  <c r="Q8" i="30"/>
  <c r="P8" i="30"/>
  <c r="M4" i="30"/>
  <c r="M5" i="30"/>
  <c r="M6" i="30"/>
  <c r="M7" i="30"/>
  <c r="M8" i="30"/>
  <c r="M9" i="30"/>
  <c r="M10" i="30"/>
  <c r="M11" i="30"/>
  <c r="M12" i="30"/>
  <c r="M13" i="30"/>
  <c r="M14" i="30"/>
  <c r="M15" i="30"/>
  <c r="M16" i="30"/>
  <c r="M17" i="30"/>
  <c r="M18" i="30"/>
  <c r="M19" i="30"/>
  <c r="M20" i="30"/>
  <c r="M21" i="30"/>
  <c r="M22" i="30"/>
  <c r="M23" i="30"/>
  <c r="M24" i="30"/>
  <c r="M25" i="30"/>
  <c r="M26" i="30"/>
  <c r="M27" i="30"/>
  <c r="M28" i="30"/>
  <c r="M29" i="30"/>
  <c r="M30" i="30"/>
  <c r="M31" i="30"/>
  <c r="M32" i="30"/>
  <c r="M33" i="30"/>
  <c r="M34" i="30"/>
  <c r="M35" i="30"/>
  <c r="M36" i="30"/>
  <c r="M37" i="30"/>
  <c r="M38" i="30"/>
  <c r="M39" i="30"/>
  <c r="M40" i="30"/>
  <c r="M41" i="30"/>
  <c r="M42" i="30"/>
  <c r="M43" i="30"/>
  <c r="M44" i="30"/>
  <c r="M45" i="30"/>
  <c r="M46" i="30"/>
  <c r="M47" i="30"/>
  <c r="M48" i="30"/>
  <c r="M49" i="30"/>
  <c r="M50" i="30"/>
  <c r="M51" i="30"/>
  <c r="M52" i="30"/>
  <c r="M53" i="30"/>
  <c r="M54" i="30"/>
  <c r="M55" i="30"/>
  <c r="M56" i="30"/>
  <c r="M57" i="30"/>
  <c r="M58" i="30"/>
  <c r="M59" i="30"/>
  <c r="M60" i="30"/>
  <c r="M61" i="30"/>
  <c r="M62" i="30"/>
  <c r="M63" i="30"/>
  <c r="M64" i="30"/>
  <c r="M65" i="30"/>
  <c r="M66" i="30"/>
  <c r="M67" i="30"/>
  <c r="M68" i="30"/>
  <c r="M69" i="30"/>
  <c r="M70" i="30"/>
  <c r="M71" i="30"/>
  <c r="M72" i="30"/>
  <c r="M73" i="30"/>
  <c r="M3" i="30"/>
  <c r="L4" i="30"/>
  <c r="L5" i="30"/>
  <c r="L6" i="30"/>
  <c r="L7" i="30"/>
  <c r="L8" i="30"/>
  <c r="L9" i="30"/>
  <c r="L10" i="30"/>
  <c r="L11" i="30"/>
  <c r="L12" i="30"/>
  <c r="L13" i="30"/>
  <c r="L14" i="30"/>
  <c r="L15" i="30"/>
  <c r="L16" i="30"/>
  <c r="L17" i="30"/>
  <c r="L18" i="30"/>
  <c r="L19" i="30"/>
  <c r="L20" i="30"/>
  <c r="L21" i="30"/>
  <c r="L22" i="30"/>
  <c r="L23" i="30"/>
  <c r="L24" i="30"/>
  <c r="L25" i="30"/>
  <c r="L26" i="30"/>
  <c r="L27" i="30"/>
  <c r="L28" i="30"/>
  <c r="L29" i="30"/>
  <c r="L30" i="30"/>
  <c r="L31" i="30"/>
  <c r="L32" i="30"/>
  <c r="L33" i="30"/>
  <c r="L34" i="30"/>
  <c r="L35" i="30"/>
  <c r="L36" i="30"/>
  <c r="L37" i="30"/>
  <c r="L38" i="30"/>
  <c r="L39" i="30"/>
  <c r="L40" i="30"/>
  <c r="L41" i="30"/>
  <c r="L42" i="30"/>
  <c r="L43" i="30"/>
  <c r="L44" i="30"/>
  <c r="L45" i="30"/>
  <c r="L46" i="30"/>
  <c r="L47" i="30"/>
  <c r="L48" i="30"/>
  <c r="L49" i="30"/>
  <c r="L50" i="30"/>
  <c r="L51" i="30"/>
  <c r="L52" i="30"/>
  <c r="L53" i="30"/>
  <c r="L54" i="30"/>
  <c r="L55" i="30"/>
  <c r="L56" i="30"/>
  <c r="L57" i="30"/>
  <c r="L58" i="30"/>
  <c r="L59" i="30"/>
  <c r="L60" i="30"/>
  <c r="L61" i="30"/>
  <c r="L62" i="30"/>
  <c r="L63" i="30"/>
  <c r="L64" i="30"/>
  <c r="L65" i="30"/>
  <c r="L66" i="30"/>
  <c r="L67" i="30"/>
  <c r="L68" i="30"/>
  <c r="L69" i="30"/>
  <c r="L70" i="30"/>
  <c r="L71" i="30"/>
  <c r="L72" i="30"/>
  <c r="L73" i="30"/>
  <c r="L3" i="30"/>
  <c r="K4" i="30"/>
  <c r="K5" i="30"/>
  <c r="K6" i="30"/>
  <c r="K7" i="30"/>
  <c r="K8" i="30"/>
  <c r="K9" i="30"/>
  <c r="K10" i="30"/>
  <c r="K11" i="30"/>
  <c r="K12" i="30"/>
  <c r="K13" i="30"/>
  <c r="K14" i="30"/>
  <c r="K15" i="30"/>
  <c r="K16" i="30"/>
  <c r="K17" i="30"/>
  <c r="K18" i="30"/>
  <c r="K19" i="30"/>
  <c r="K20" i="30"/>
  <c r="K21" i="30"/>
  <c r="K22" i="30"/>
  <c r="K23" i="30"/>
  <c r="K24" i="30"/>
  <c r="K25" i="30"/>
  <c r="K26" i="30"/>
  <c r="K27" i="30"/>
  <c r="K28" i="30"/>
  <c r="K29" i="30"/>
  <c r="K30" i="30"/>
  <c r="K31" i="30"/>
  <c r="K32" i="30"/>
  <c r="K33" i="30"/>
  <c r="K34" i="30"/>
  <c r="K35" i="30"/>
  <c r="K36" i="30"/>
  <c r="K37" i="30"/>
  <c r="K38" i="30"/>
  <c r="K39" i="30"/>
  <c r="K40" i="30"/>
  <c r="K41" i="30"/>
  <c r="K42" i="30"/>
  <c r="K43" i="30"/>
  <c r="K44" i="30"/>
  <c r="K45" i="30"/>
  <c r="K46" i="30"/>
  <c r="K47" i="30"/>
  <c r="K48" i="30"/>
  <c r="K49" i="30"/>
  <c r="K50" i="30"/>
  <c r="K51" i="30"/>
  <c r="K52" i="30"/>
  <c r="K53" i="30"/>
  <c r="K54" i="30"/>
  <c r="K55" i="30"/>
  <c r="K56" i="30"/>
  <c r="K57" i="30"/>
  <c r="K58" i="30"/>
  <c r="K59" i="30"/>
  <c r="K60" i="30"/>
  <c r="K61" i="30"/>
  <c r="K62" i="30"/>
  <c r="K63" i="30"/>
  <c r="K64" i="30"/>
  <c r="K65" i="30"/>
  <c r="K66" i="30"/>
  <c r="K67" i="30"/>
  <c r="K68" i="30"/>
  <c r="K69" i="30"/>
  <c r="K70" i="30"/>
  <c r="K71" i="30"/>
  <c r="K72" i="30"/>
  <c r="K73" i="30"/>
  <c r="K3" i="30"/>
  <c r="J4" i="30"/>
  <c r="J5" i="30"/>
  <c r="J6" i="30"/>
  <c r="J7" i="30"/>
  <c r="J8" i="30"/>
  <c r="J9" i="30"/>
  <c r="J10" i="30"/>
  <c r="J11" i="30"/>
  <c r="J12" i="30"/>
  <c r="J13" i="30"/>
  <c r="J14" i="30"/>
  <c r="J15" i="30"/>
  <c r="J16" i="30"/>
  <c r="J17" i="30"/>
  <c r="J18" i="30"/>
  <c r="J19" i="30"/>
  <c r="J20" i="30"/>
  <c r="J21" i="30"/>
  <c r="J22" i="30"/>
  <c r="J23" i="30"/>
  <c r="J24" i="30"/>
  <c r="J25" i="30"/>
  <c r="J26" i="30"/>
  <c r="J27" i="30"/>
  <c r="J28" i="30"/>
  <c r="J29" i="30"/>
  <c r="J30" i="30"/>
  <c r="J31" i="30"/>
  <c r="J32" i="30"/>
  <c r="J33" i="30"/>
  <c r="J34" i="30"/>
  <c r="J35" i="30"/>
  <c r="J36" i="30"/>
  <c r="J37" i="30"/>
  <c r="J38" i="30"/>
  <c r="J39" i="30"/>
  <c r="J40" i="30"/>
  <c r="J41" i="30"/>
  <c r="J42" i="30"/>
  <c r="J43" i="30"/>
  <c r="J44" i="30"/>
  <c r="J45" i="30"/>
  <c r="J46" i="30"/>
  <c r="J47" i="30"/>
  <c r="J48" i="30"/>
  <c r="J49" i="30"/>
  <c r="J50" i="30"/>
  <c r="J51" i="30"/>
  <c r="J52" i="30"/>
  <c r="J53" i="30"/>
  <c r="J54" i="30"/>
  <c r="J55" i="30"/>
  <c r="J56" i="30"/>
  <c r="J57" i="30"/>
  <c r="J58" i="30"/>
  <c r="J59" i="30"/>
  <c r="J60" i="30"/>
  <c r="J61" i="30"/>
  <c r="J62" i="30"/>
  <c r="J63" i="30"/>
  <c r="J64" i="30"/>
  <c r="J65" i="30"/>
  <c r="J66" i="30"/>
  <c r="J67" i="30"/>
  <c r="J68" i="30"/>
  <c r="J69" i="30"/>
  <c r="J70" i="30"/>
  <c r="J71" i="30"/>
  <c r="J72" i="30"/>
  <c r="J73" i="30"/>
  <c r="J3" i="30"/>
  <c r="I4" i="30"/>
  <c r="I5" i="30"/>
  <c r="I6" i="30"/>
  <c r="I7" i="30"/>
  <c r="I8" i="30"/>
  <c r="I9" i="30"/>
  <c r="I10" i="30"/>
  <c r="I11" i="30"/>
  <c r="I12" i="30"/>
  <c r="I13" i="30"/>
  <c r="I14" i="30"/>
  <c r="I15" i="30"/>
  <c r="I16" i="30"/>
  <c r="I17" i="30"/>
  <c r="I18" i="30"/>
  <c r="I19" i="30"/>
  <c r="I20" i="30"/>
  <c r="I21" i="30"/>
  <c r="I22" i="30"/>
  <c r="I23" i="30"/>
  <c r="I24" i="30"/>
  <c r="I25" i="30"/>
  <c r="I26" i="30"/>
  <c r="I27" i="30"/>
  <c r="I28" i="30"/>
  <c r="I29" i="30"/>
  <c r="I30" i="30"/>
  <c r="I31" i="30"/>
  <c r="I32" i="30"/>
  <c r="I33" i="30"/>
  <c r="I34" i="30"/>
  <c r="I35" i="30"/>
  <c r="I36" i="30"/>
  <c r="I37" i="30"/>
  <c r="I38" i="30"/>
  <c r="I39" i="30"/>
  <c r="I40" i="30"/>
  <c r="I41" i="30"/>
  <c r="I42" i="30"/>
  <c r="I43" i="30"/>
  <c r="I44" i="30"/>
  <c r="I45" i="30"/>
  <c r="I46" i="30"/>
  <c r="I47" i="30"/>
  <c r="I48" i="30"/>
  <c r="I49" i="30"/>
  <c r="I50" i="30"/>
  <c r="I51" i="30"/>
  <c r="I52" i="30"/>
  <c r="I53" i="30"/>
  <c r="I54" i="30"/>
  <c r="I55" i="30"/>
  <c r="I56" i="30"/>
  <c r="I57" i="30"/>
  <c r="I58" i="30"/>
  <c r="I59" i="30"/>
  <c r="I60" i="30"/>
  <c r="I61" i="30"/>
  <c r="I62" i="30"/>
  <c r="I63" i="30"/>
  <c r="I64" i="30"/>
  <c r="I65" i="30"/>
  <c r="I66" i="30"/>
  <c r="I67" i="30"/>
  <c r="I68" i="30"/>
  <c r="I69" i="30"/>
  <c r="I70" i="30"/>
  <c r="I71" i="30"/>
  <c r="I72" i="30"/>
  <c r="I73" i="30"/>
  <c r="I3" i="30"/>
  <c r="H4" i="30"/>
  <c r="H5" i="30"/>
  <c r="H6" i="30"/>
  <c r="H7" i="30"/>
  <c r="H8" i="30"/>
  <c r="H9" i="30"/>
  <c r="H10" i="30"/>
  <c r="H11" i="30"/>
  <c r="H12" i="30"/>
  <c r="H13" i="30"/>
  <c r="H14" i="30"/>
  <c r="H15" i="30"/>
  <c r="H16" i="30"/>
  <c r="H17" i="30"/>
  <c r="H18" i="30"/>
  <c r="H19" i="30"/>
  <c r="H20" i="30"/>
  <c r="H21" i="30"/>
  <c r="H22" i="30"/>
  <c r="H23" i="30"/>
  <c r="H24" i="30"/>
  <c r="H25" i="30"/>
  <c r="H26" i="30"/>
  <c r="H27" i="30"/>
  <c r="H28" i="30"/>
  <c r="H29" i="30"/>
  <c r="H30" i="30"/>
  <c r="H31" i="30"/>
  <c r="H32" i="30"/>
  <c r="H33" i="30"/>
  <c r="H34" i="30"/>
  <c r="H35" i="30"/>
  <c r="H36" i="30"/>
  <c r="H37" i="30"/>
  <c r="H38" i="30"/>
  <c r="H39" i="30"/>
  <c r="H40" i="30"/>
  <c r="H41" i="30"/>
  <c r="H42" i="30"/>
  <c r="H43" i="30"/>
  <c r="H44" i="30"/>
  <c r="H45" i="30"/>
  <c r="H46" i="30"/>
  <c r="H47" i="30"/>
  <c r="H48" i="30"/>
  <c r="H49" i="30"/>
  <c r="H50" i="30"/>
  <c r="H51" i="30"/>
  <c r="H52" i="30"/>
  <c r="H53" i="30"/>
  <c r="H54" i="30"/>
  <c r="H55" i="30"/>
  <c r="H56" i="30"/>
  <c r="H57" i="30"/>
  <c r="H58" i="30"/>
  <c r="H59" i="30"/>
  <c r="H60" i="30"/>
  <c r="H61" i="30"/>
  <c r="H62" i="30"/>
  <c r="H63" i="30"/>
  <c r="H64" i="30"/>
  <c r="H65" i="30"/>
  <c r="H66" i="30"/>
  <c r="H67" i="30"/>
  <c r="H68" i="30"/>
  <c r="H69" i="30"/>
  <c r="H70" i="30"/>
  <c r="H71" i="30"/>
  <c r="H72" i="30"/>
  <c r="H73" i="30"/>
  <c r="H3" i="30"/>
  <c r="T14" i="32" l="1"/>
  <c r="T10" i="32"/>
  <c r="T13" i="32"/>
  <c r="T12" i="32"/>
  <c r="T15" i="32"/>
  <c r="D7" i="27"/>
  <c r="D8" i="27"/>
  <c r="D9" i="27"/>
  <c r="D10" i="27"/>
  <c r="D11" i="27"/>
  <c r="D12" i="27"/>
  <c r="D13" i="27"/>
  <c r="D14" i="27"/>
  <c r="D15" i="27"/>
  <c r="D16" i="27"/>
  <c r="D6" i="27"/>
  <c r="A15" i="16" a="1"/>
  <c r="A15" i="16" s="1"/>
  <c r="B17" i="16"/>
  <c r="B18" i="16"/>
  <c r="B19" i="16"/>
  <c r="B20" i="16"/>
  <c r="B21" i="16"/>
  <c r="B16" i="16"/>
  <c r="E3" i="4"/>
  <c r="E4" i="4"/>
  <c r="E5" i="4"/>
  <c r="E6" i="4"/>
  <c r="E7" i="4"/>
  <c r="E8" i="4"/>
  <c r="E9" i="4"/>
  <c r="E10" i="4"/>
  <c r="E11" i="4"/>
  <c r="E12" i="4"/>
  <c r="E13" i="4"/>
  <c r="E14" i="4"/>
  <c r="E15" i="4"/>
  <c r="E16" i="4"/>
  <c r="E17" i="4"/>
  <c r="E18" i="4"/>
  <c r="E19" i="4"/>
  <c r="E20" i="4"/>
  <c r="E21" i="4"/>
  <c r="E22" i="4"/>
  <c r="E23" i="4"/>
  <c r="E24" i="4"/>
  <c r="E2" i="4"/>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75A6A31-DB5A-4918-BEB6-EBC491600EEC}" keepAlive="1" name="Query - 2" description="Connection to the '2' query in the workbook." type="5" refreshedVersion="0" background="1">
    <dbPr connection="Provider=Microsoft.Mashup.OleDb.1;Data Source=$Workbook$;Location=2;Extended Properties=&quot;&quot;" command="SELECT * FROM [2]"/>
  </connection>
  <connection id="2" xr16:uid="{98C73874-5978-41C0-8266-9CB43D704493}" keepAlive="1" name="Query - 3A" description="Connection to the '3A' query in the workbook." type="5" refreshedVersion="0" background="1">
    <dbPr connection="Provider=Microsoft.Mashup.OleDb.1;Data Source=$Workbook$;Location=3A;Extended Properties=&quot;&quot;" command="SELECT * FROM [3A]"/>
  </connection>
  <connection id="3" xr16:uid="{9AD49CD9-2EBC-4B6E-939B-02E544048363}" keepAlive="1" name="Query - 3B" description="Connection to the '3B' query in the workbook." type="5" refreshedVersion="0" background="1">
    <dbPr connection="Provider=Microsoft.Mashup.OleDb.1;Data Source=$Workbook$;Location=3B;Extended Properties=&quot;&quot;" command="SELECT * FROM [3B]"/>
  </connection>
  <connection id="4" xr16:uid="{30FEEB46-85EB-4806-ADA3-456BFEBA74EA}" keepAlive="1" name="Query - 4(1)" description="Connection to the '4' query in the workbook." type="5" refreshedVersion="0" background="1">
    <dbPr connection="Provider=Microsoft.Mashup.OleDb.1;Data Source=$Workbook$;Location=4;Extended Properties=&quot;&quot;" command="SELECT * FROM [4]"/>
  </connection>
  <connection id="5" xr16:uid="{AF84A49A-B505-41B3-9D2A-E4E1620BDBF0}" keepAlive="1" name="Query - 5" description="Connection to the '5' query in the workbook." type="5" refreshedVersion="8" background="1" saveData="1">
    <dbPr connection="Provider=Microsoft.Mashup.OleDb.1;Data Source=$Workbook$;Location=5;Extended Properties=&quot;&quot;" command="SELECT * FROM [5]"/>
  </connection>
  <connection id="6" xr16:uid="{D24AD61A-6D06-4CA2-B2A9-205DA9E0FFD6}" keepAlive="1" name="Query - CPI" description="Connection to the 'CPI' query in the workbook." type="5" refreshedVersion="0" background="1">
    <dbPr connection="Provider=Microsoft.Mashup.OleDb.1;Data Source=$Workbook$;Location=CPI;Extended Properties=&quot;&quot;" command="SELECT * FROM [CPI]"/>
  </connection>
  <connection id="7" xr16:uid="{B30E274D-737E-4CFA-9F3F-5A8E127AE9DC}" keepAlive="1" name="Query - CPI (2)" description="Connection to the 'CPI (2)' query in the workbook." type="5" refreshedVersion="0" background="1">
    <dbPr connection="Provider=Microsoft.Mashup.OleDb.1;Data Source=$Workbook$;Location=&quot;CPI (2)&quot;;Extended Properties=&quot;&quot;" command="SELECT * FROM [CPI (2)]"/>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<sst xmlns="http://schemas.openxmlformats.org/spreadsheetml/2006/main" count="1789" uniqueCount="430">
  <si>
    <t>Sector</t>
  </si>
  <si>
    <t>Year</t>
  </si>
  <si>
    <t>Month</t>
  </si>
  <si>
    <t>Cereals and products</t>
  </si>
  <si>
    <t>Meat and fish</t>
  </si>
  <si>
    <t>Egg</t>
  </si>
  <si>
    <t>Milk and products</t>
  </si>
  <si>
    <t>Oils and fats</t>
  </si>
  <si>
    <t>Fruits</t>
  </si>
  <si>
    <t>Vegetables</t>
  </si>
  <si>
    <t>Pulses and products</t>
  </si>
  <si>
    <t>Sugar and Confectionery</t>
  </si>
  <si>
    <t>Spices</t>
  </si>
  <si>
    <t>Non-alcoholic beverages</t>
  </si>
  <si>
    <t>Prepared meals, snacks, sweets etc.</t>
  </si>
  <si>
    <t>Food and beverages</t>
  </si>
  <si>
    <t>Pan, tobacco and intoxicants</t>
  </si>
  <si>
    <t>Clothing</t>
  </si>
  <si>
    <t>Footwear</t>
  </si>
  <si>
    <t>Clothing and footwear</t>
  </si>
  <si>
    <t>Housing</t>
  </si>
  <si>
    <t>Fuel and light</t>
  </si>
  <si>
    <t>Household goods and services</t>
  </si>
  <si>
    <t>Health</t>
  </si>
  <si>
    <t>Transport and communication</t>
  </si>
  <si>
    <t>Recreation and amusement</t>
  </si>
  <si>
    <t>Education</t>
  </si>
  <si>
    <t>Personal care and effects</t>
  </si>
  <si>
    <t>Miscellaneous</t>
  </si>
  <si>
    <t>General index</t>
  </si>
  <si>
    <t>Rural</t>
  </si>
  <si>
    <t>January</t>
  </si>
  <si>
    <t>NA</t>
  </si>
  <si>
    <t>Urban</t>
  </si>
  <si>
    <t>100.3</t>
  </si>
  <si>
    <t>Rural+Urban</t>
  </si>
  <si>
    <t>February</t>
  </si>
  <si>
    <t>100.4</t>
  </si>
  <si>
    <t>March</t>
  </si>
  <si>
    <t>April</t>
  </si>
  <si>
    <t>100.5</t>
  </si>
  <si>
    <t>May</t>
  </si>
  <si>
    <t>June</t>
  </si>
  <si>
    <t>106.6</t>
  </si>
  <si>
    <t>July</t>
  </si>
  <si>
    <t>107.7</t>
  </si>
  <si>
    <t>August</t>
  </si>
  <si>
    <t>108.9</t>
  </si>
  <si>
    <t>September</t>
  </si>
  <si>
    <t>109.7</t>
  </si>
  <si>
    <t>October</t>
  </si>
  <si>
    <t>110.5</t>
  </si>
  <si>
    <t xml:space="preserve">November </t>
  </si>
  <si>
    <t>November</t>
  </si>
  <si>
    <t>111.1</t>
  </si>
  <si>
    <t>December</t>
  </si>
  <si>
    <t>110.7</t>
  </si>
  <si>
    <t>111.6</t>
  </si>
  <si>
    <t>112.5</t>
  </si>
  <si>
    <t>113.2</t>
  </si>
  <si>
    <t>Marcrh</t>
  </si>
  <si>
    <t>113.9</t>
  </si>
  <si>
    <t>114.3</t>
  </si>
  <si>
    <t>114.8</t>
  </si>
  <si>
    <t>115.5</t>
  </si>
  <si>
    <t>116.1</t>
  </si>
  <si>
    <t>116.7</t>
  </si>
  <si>
    <t>117.1</t>
  </si>
  <si>
    <t>116.5</t>
  </si>
  <si>
    <t>117.3</t>
  </si>
  <si>
    <t>118.1</t>
  </si>
  <si>
    <t>118.6</t>
  </si>
  <si>
    <t>119.2</t>
  </si>
  <si>
    <t>119.6</t>
  </si>
  <si>
    <t>119</t>
  </si>
  <si>
    <t>119.9</t>
  </si>
  <si>
    <t>120.9</t>
  </si>
  <si>
    <t>121.6</t>
  </si>
  <si>
    <t>122.4</t>
  </si>
  <si>
    <t>122.9</t>
  </si>
  <si>
    <t>123.4</t>
  </si>
  <si>
    <t>124.4</t>
  </si>
  <si>
    <t>124.9</t>
  </si>
  <si>
    <t>125.6</t>
  </si>
  <si>
    <t>126</t>
  </si>
  <si>
    <t>125.5</t>
  </si>
  <si>
    <t>126.4</t>
  </si>
  <si>
    <t>127.3</t>
  </si>
  <si>
    <t>127.9</t>
  </si>
  <si>
    <t>128.7</t>
  </si>
  <si>
    <t>129.1</t>
  </si>
  <si>
    <t>128.5</t>
  </si>
  <si>
    <t>129.6</t>
  </si>
  <si>
    <t>130.5</t>
  </si>
  <si>
    <t>131.1</t>
  </si>
  <si>
    <t>131.7</t>
  </si>
  <si>
    <t>132.1</t>
  </si>
  <si>
    <t>131.4</t>
  </si>
  <si>
    <t>132.6</t>
  </si>
  <si>
    <t>134.4</t>
  </si>
  <si>
    <t>135.7</t>
  </si>
  <si>
    <t>137.3</t>
  </si>
  <si>
    <t>138.6</t>
  </si>
  <si>
    <t>139.1</t>
  </si>
  <si>
    <t>140.4</t>
  </si>
  <si>
    <t>141.3</t>
  </si>
  <si>
    <t>142</t>
  </si>
  <si>
    <t>142.9</t>
  </si>
  <si>
    <t>143.2</t>
  </si>
  <si>
    <t>142.5</t>
  </si>
  <si>
    <t>143.6</t>
  </si>
  <si>
    <t>144.6</t>
  </si>
  <si>
    <t>145.3</t>
  </si>
  <si>
    <t>146.3</t>
  </si>
  <si>
    <t>146.9</t>
  </si>
  <si>
    <t>146.5</t>
  </si>
  <si>
    <t>147.7</t>
  </si>
  <si>
    <t>148.5</t>
  </si>
  <si>
    <t>149</t>
  </si>
  <si>
    <t>150.1</t>
  </si>
  <si>
    <t>149.4</t>
  </si>
  <si>
    <t>150.6</t>
  </si>
  <si>
    <t>151.6</t>
  </si>
  <si>
    <t>152.2</t>
  </si>
  <si>
    <t>153</t>
  </si>
  <si>
    <t>153.5</t>
  </si>
  <si>
    <t>152.8</t>
  </si>
  <si>
    <t>153.9</t>
  </si>
  <si>
    <t>154.8</t>
  </si>
  <si>
    <t>154.5</t>
  </si>
  <si>
    <t>155.6</t>
  </si>
  <si>
    <t>154.7</t>
  </si>
  <si>
    <t>155.5</t>
  </si>
  <si>
    <t>156.3</t>
  </si>
  <si>
    <t>156.5</t>
  </si>
  <si>
    <t>158</t>
  </si>
  <si>
    <t>158.4</t>
  </si>
  <si>
    <t>157.7</t>
  </si>
  <si>
    <t>159.8</t>
  </si>
  <si>
    <t>-</t>
  </si>
  <si>
    <t>159.9</t>
  </si>
  <si>
    <t>161.4</t>
  </si>
  <si>
    <t>161.6</t>
  </si>
  <si>
    <t>160.5</t>
  </si>
  <si>
    <t>161.5</t>
  </si>
  <si>
    <t>162.1</t>
  </si>
  <si>
    <t>163.6</t>
  </si>
  <si>
    <t>164.2</t>
  </si>
  <si>
    <t>163.4</t>
  </si>
  <si>
    <t>164.5</t>
  </si>
  <si>
    <t>165.5</t>
  </si>
  <si>
    <t>165.3</t>
  </si>
  <si>
    <t>167</t>
  </si>
  <si>
    <t>167.5</t>
  </si>
  <si>
    <t>166.8</t>
  </si>
  <si>
    <t>167.8</t>
  </si>
  <si>
    <t>169</t>
  </si>
  <si>
    <t>169.5</t>
  </si>
  <si>
    <t>171.2</t>
  </si>
  <si>
    <t>171.8</t>
  </si>
  <si>
    <t>170.7</t>
  </si>
  <si>
    <t>172.1</t>
  </si>
  <si>
    <t>173.5</t>
  </si>
  <si>
    <t>175.2</t>
  </si>
  <si>
    <t>175.6</t>
  </si>
  <si>
    <t>food</t>
  </si>
  <si>
    <t>tabacco &amp; intoxicants</t>
  </si>
  <si>
    <t>clothing</t>
  </si>
  <si>
    <t>housing</t>
  </si>
  <si>
    <t>education</t>
  </si>
  <si>
    <t>energy</t>
  </si>
  <si>
    <t xml:space="preserve">household </t>
  </si>
  <si>
    <t>healthcare</t>
  </si>
  <si>
    <t>transport</t>
  </si>
  <si>
    <t>recreation</t>
  </si>
  <si>
    <t>personal care</t>
  </si>
  <si>
    <t>sub category</t>
  </si>
  <si>
    <t>rural</t>
  </si>
  <si>
    <t>urban</t>
  </si>
  <si>
    <t>rural + urban</t>
  </si>
  <si>
    <t>category</t>
  </si>
  <si>
    <t>Grand Total</t>
  </si>
  <si>
    <t>YOY %</t>
  </si>
  <si>
    <t>2022-June</t>
  </si>
  <si>
    <t>2022-September</t>
  </si>
  <si>
    <t>2022-October</t>
  </si>
  <si>
    <t>2022-November</t>
  </si>
  <si>
    <t>2023-January</t>
  </si>
  <si>
    <t>2023-February</t>
  </si>
  <si>
    <t>2023-March</t>
  </si>
  <si>
    <t>2023-April</t>
  </si>
  <si>
    <t>2023-May</t>
  </si>
  <si>
    <t>2022-July</t>
  </si>
  <si>
    <t>2022-August</t>
  </si>
  <si>
    <t>2022-December</t>
  </si>
  <si>
    <t>2017-March</t>
  </si>
  <si>
    <t>2017-April</t>
  </si>
  <si>
    <t>2017-May</t>
  </si>
  <si>
    <t>2017-June</t>
  </si>
  <si>
    <t>2017-July</t>
  </si>
  <si>
    <t>2017-August</t>
  </si>
  <si>
    <t>2017-September</t>
  </si>
  <si>
    <t>2017-October</t>
  </si>
  <si>
    <t>2017-November</t>
  </si>
  <si>
    <t>2017-December</t>
  </si>
  <si>
    <t>2018-January</t>
  </si>
  <si>
    <t>2018-February</t>
  </si>
  <si>
    <t>2018-March</t>
  </si>
  <si>
    <t>2018-April</t>
  </si>
  <si>
    <t>2018-May</t>
  </si>
  <si>
    <t>2018-June</t>
  </si>
  <si>
    <t>2018-July</t>
  </si>
  <si>
    <t>2018-August</t>
  </si>
  <si>
    <t>2018-September</t>
  </si>
  <si>
    <t>2018-October</t>
  </si>
  <si>
    <t>2018-November</t>
  </si>
  <si>
    <t>2018-December</t>
  </si>
  <si>
    <t>2019-January</t>
  </si>
  <si>
    <t>2019-February</t>
  </si>
  <si>
    <t>2019-March</t>
  </si>
  <si>
    <t>2019-May</t>
  </si>
  <si>
    <t>2019-June</t>
  </si>
  <si>
    <t>2019-July</t>
  </si>
  <si>
    <t>2019-August</t>
  </si>
  <si>
    <t>2019-September</t>
  </si>
  <si>
    <t>2019-October</t>
  </si>
  <si>
    <t>2019-November</t>
  </si>
  <si>
    <t>2019-December</t>
  </si>
  <si>
    <t>2020-January</t>
  </si>
  <si>
    <t>2020-February</t>
  </si>
  <si>
    <t>2020-March</t>
  </si>
  <si>
    <t>2020-April</t>
  </si>
  <si>
    <t>2020-May</t>
  </si>
  <si>
    <t>2020-June</t>
  </si>
  <si>
    <t>2020-July</t>
  </si>
  <si>
    <t>2020-August</t>
  </si>
  <si>
    <t>2020-September</t>
  </si>
  <si>
    <t>2020-October</t>
  </si>
  <si>
    <t>2020-November</t>
  </si>
  <si>
    <t>2020-December</t>
  </si>
  <si>
    <t>2021-January</t>
  </si>
  <si>
    <t>2021-February</t>
  </si>
  <si>
    <t>2021-March</t>
  </si>
  <si>
    <t>2021-April</t>
  </si>
  <si>
    <t>2021-May</t>
  </si>
  <si>
    <t>2021-June</t>
  </si>
  <si>
    <t>2021-July</t>
  </si>
  <si>
    <t>2021-August</t>
  </si>
  <si>
    <t>2021-September</t>
  </si>
  <si>
    <t>2021-October</t>
  </si>
  <si>
    <t>2021-November</t>
  </si>
  <si>
    <t>2021-December</t>
  </si>
  <si>
    <t>2022-January</t>
  </si>
  <si>
    <t>2022-February</t>
  </si>
  <si>
    <t>2022-March</t>
  </si>
  <si>
    <t>2022-April</t>
  </si>
  <si>
    <t>2022-May</t>
  </si>
  <si>
    <t>Date</t>
  </si>
  <si>
    <t xml:space="preserve">Food and Beverages MoM % </t>
  </si>
  <si>
    <t>Fuel and Light MoM%</t>
  </si>
  <si>
    <t>Household goods and services MoM%</t>
  </si>
  <si>
    <t>Health MoM%</t>
  </si>
  <si>
    <t>Transport and Communication</t>
  </si>
  <si>
    <t>Transport and Communication MoM%</t>
  </si>
  <si>
    <t>General index Mom%</t>
  </si>
  <si>
    <t>General CPI</t>
  </si>
  <si>
    <t>Pre-Covid</t>
  </si>
  <si>
    <t>Post-Covid</t>
  </si>
  <si>
    <t>Fuel and Light</t>
  </si>
  <si>
    <t>Food and Beverages</t>
  </si>
  <si>
    <t>Household goods and Services</t>
  </si>
  <si>
    <t>Food and Beverages MoM %</t>
  </si>
  <si>
    <t>Recreation and amusement MoM%</t>
  </si>
  <si>
    <t>Education MoM%</t>
  </si>
  <si>
    <t>General Index MoM%</t>
  </si>
  <si>
    <t>Category</t>
  </si>
  <si>
    <t>Based on the latest month data</t>
  </si>
  <si>
    <t xml:space="preserve"> Broader Category</t>
  </si>
  <si>
    <t>Sub Category</t>
  </si>
  <si>
    <t xml:space="preserve">The contribution of different categories to the overall CPI </t>
  </si>
  <si>
    <t>Contribution (%)</t>
  </si>
  <si>
    <t xml:space="preserve">Key Insight </t>
  </si>
  <si>
    <r>
      <t xml:space="preserve">Food contributes </t>
    </r>
    <r>
      <rPr>
        <b/>
        <sz val="11"/>
        <color theme="1"/>
        <rFont val="Calibri"/>
        <family val="2"/>
        <scheme val="minor"/>
      </rPr>
      <t>51.73%</t>
    </r>
    <r>
      <rPr>
        <sz val="11"/>
        <color theme="1"/>
        <rFont val="Calibri"/>
        <family val="2"/>
        <scheme val="minor"/>
      </rPr>
      <t xml:space="preserve"> of the overall CPI basket.</t>
    </r>
  </si>
  <si>
    <t>It is the largest contributor among all broader categories.</t>
  </si>
  <si>
    <t>Broader Category</t>
  </si>
  <si>
    <t>Average CPI Index</t>
  </si>
  <si>
    <r>
      <t xml:space="preserve">Inflation declined to </t>
    </r>
    <r>
      <rPr>
        <b/>
        <sz val="11"/>
        <color theme="1"/>
        <rFont val="Calibri"/>
        <family val="2"/>
        <scheme val="minor"/>
      </rPr>
      <t>3.18% in 2023</t>
    </r>
    <r>
      <rPr>
        <sz val="11"/>
        <color theme="1"/>
        <rFont val="Calibri"/>
        <family val="2"/>
        <scheme val="minor"/>
      </rPr>
      <t>, suggesting easing inflationary pressure.</t>
    </r>
  </si>
  <si>
    <r>
      <t xml:space="preserve">Highest average inflation occurred in </t>
    </r>
    <r>
      <rPr>
        <b/>
        <sz val="11"/>
        <color theme="1"/>
        <rFont val="Calibri"/>
        <family val="2"/>
        <scheme val="minor"/>
      </rPr>
      <t>2022</t>
    </r>
    <r>
      <rPr>
        <sz val="11"/>
        <color theme="1"/>
        <rFont val="Calibri"/>
        <family val="2"/>
        <scheme val="minor"/>
      </rPr>
      <t xml:space="preserve"> (6.62%).</t>
    </r>
  </si>
  <si>
    <r>
      <t xml:space="preserve">Inflation peaked during </t>
    </r>
    <r>
      <rPr>
        <b/>
        <sz val="11"/>
        <color theme="1"/>
        <rFont val="Calibri"/>
        <family val="2"/>
        <scheme val="minor"/>
      </rPr>
      <t>2020–2022</t>
    </r>
    <r>
      <rPr>
        <sz val="11"/>
        <color theme="1"/>
        <rFont val="Calibri"/>
        <family val="2"/>
        <scheme val="minor"/>
      </rPr>
      <t>, indicating a period of higher price increases.</t>
    </r>
  </si>
  <si>
    <t>Key Outputs</t>
  </si>
  <si>
    <t>Year-over-Year (YoY) Inflation Trend (2017–2023)</t>
  </si>
  <si>
    <t>Food CPI Index</t>
  </si>
  <si>
    <t>MoM Inflation (%)</t>
  </si>
  <si>
    <t>Key Insight</t>
  </si>
  <si>
    <r>
      <rPr>
        <b/>
        <sz val="11"/>
        <color theme="1"/>
        <rFont val="Calibri"/>
        <family val="2"/>
        <scheme val="minor"/>
      </rPr>
      <t>Highest</t>
    </r>
    <r>
      <rPr>
        <sz val="11"/>
        <color theme="1"/>
        <rFont val="Calibri"/>
        <family val="2"/>
        <scheme val="minor"/>
      </rPr>
      <t xml:space="preserve"> monthly food inflation occurred in </t>
    </r>
    <r>
      <rPr>
        <b/>
        <sz val="11"/>
        <color theme="1"/>
        <rFont val="Calibri"/>
        <family val="2"/>
        <scheme val="minor"/>
      </rPr>
      <t>October 2022 (1.01%)</t>
    </r>
    <r>
      <rPr>
        <sz val="11"/>
        <color theme="1"/>
        <rFont val="Calibri"/>
        <family val="2"/>
        <scheme val="minor"/>
      </rPr>
      <t>.</t>
    </r>
  </si>
  <si>
    <r>
      <rPr>
        <b/>
        <sz val="11"/>
        <color theme="1"/>
        <rFont val="Calibri"/>
        <family val="2"/>
        <scheme val="minor"/>
      </rPr>
      <t>Lowest</t>
    </r>
    <r>
      <rPr>
        <sz val="11"/>
        <color theme="1"/>
        <rFont val="Calibri"/>
        <family val="2"/>
        <scheme val="minor"/>
      </rPr>
      <t xml:space="preserve"> monthly food inflation occurred in </t>
    </r>
    <r>
      <rPr>
        <b/>
        <sz val="11"/>
        <color theme="1"/>
        <rFont val="Calibri"/>
        <family val="2"/>
        <scheme val="minor"/>
      </rPr>
      <t>December 2022 (-1.35%)</t>
    </r>
    <r>
      <rPr>
        <sz val="11"/>
        <color theme="1"/>
        <rFont val="Calibri"/>
        <family val="2"/>
        <scheme val="minor"/>
      </rPr>
      <t>.</t>
    </r>
  </si>
  <si>
    <t>Month-over-Month (MoM) Food Inflation Analysis                                      (June 2022 – May 2023)</t>
  </si>
  <si>
    <t>Food Subcategory</t>
  </si>
  <si>
    <t>June 2022 CPI</t>
  </si>
  <si>
    <t>May 2023 CPI</t>
  </si>
  <si>
    <t>Absolute Change</t>
  </si>
  <si>
    <t>Key Insights</t>
  </si>
  <si>
    <r>
      <rPr>
        <b/>
        <sz val="11"/>
        <color theme="1"/>
        <rFont val="Calibri"/>
        <family val="2"/>
        <scheme val="minor"/>
      </rPr>
      <t>Spices</t>
    </r>
    <r>
      <rPr>
        <sz val="11"/>
        <color theme="1"/>
        <rFont val="Calibri"/>
        <family val="2"/>
        <scheme val="minor"/>
      </rPr>
      <t xml:space="preserve"> recorded the highest increase in the CPI Index, rising by </t>
    </r>
    <r>
      <rPr>
        <b/>
        <sz val="11"/>
        <color theme="1"/>
        <rFont val="Calibri"/>
        <family val="2"/>
        <scheme val="minor"/>
      </rPr>
      <t>30.9</t>
    </r>
    <r>
      <rPr>
        <sz val="11"/>
        <color theme="1"/>
        <rFont val="Calibri"/>
        <family val="2"/>
        <scheme val="minor"/>
      </rPr>
      <t xml:space="preserve"> points between </t>
    </r>
    <r>
      <rPr>
        <b/>
        <sz val="11"/>
        <color theme="1"/>
        <rFont val="Calibri"/>
        <family val="2"/>
        <scheme val="minor"/>
      </rPr>
      <t>June 2022 and May 2023</t>
    </r>
    <r>
      <rPr>
        <sz val="11"/>
        <color theme="1"/>
        <rFont val="Calibri"/>
        <family val="2"/>
        <scheme val="minor"/>
      </rPr>
      <t>.</t>
    </r>
  </si>
  <si>
    <r>
      <rPr>
        <b/>
        <sz val="11"/>
        <color theme="1"/>
        <rFont val="Calibri"/>
        <family val="2"/>
        <scheme val="minor"/>
      </rPr>
      <t xml:space="preserve">Oils &amp; Fats (-30.9) </t>
    </r>
    <r>
      <rPr>
        <sz val="11"/>
        <color theme="1"/>
        <rFont val="Calibri"/>
        <family val="2"/>
        <scheme val="minor"/>
      </rPr>
      <t xml:space="preserve">and </t>
    </r>
    <r>
      <rPr>
        <b/>
        <sz val="11"/>
        <color theme="1"/>
        <rFont val="Calibri"/>
        <family val="2"/>
        <scheme val="minor"/>
      </rPr>
      <t>Vegetables (-21.3)</t>
    </r>
    <r>
      <rPr>
        <sz val="11"/>
        <color theme="1"/>
        <rFont val="Calibri"/>
        <family val="2"/>
        <scheme val="minor"/>
      </rPr>
      <t xml:space="preserve"> showed the largest declines over the same period.</t>
    </r>
  </si>
  <si>
    <t>Absolute Change in Food Category CPI Index                                             (June 2022 – May 2023)</t>
  </si>
  <si>
    <t>Impact of COVID-19 on CPI Inflation (Pre-COVID vs Post-COVID)</t>
  </si>
  <si>
    <r>
      <t>Transport &amp; Communication showed the highest increase after COVID (</t>
    </r>
    <r>
      <rPr>
        <b/>
        <sz val="11"/>
        <color theme="1"/>
        <rFont val="Calibri"/>
        <family val="2"/>
        <scheme val="minor"/>
      </rPr>
      <t>+0.37%</t>
    </r>
    <r>
      <rPr>
        <sz val="11"/>
        <color theme="1"/>
        <rFont val="Calibri"/>
        <family val="2"/>
        <scheme val="minor"/>
      </rPr>
      <t>).</t>
    </r>
  </si>
  <si>
    <t>Food &amp; Beverages and Fuel &amp; Light also experienced noticeable increases.</t>
  </si>
  <si>
    <t>General CPI increased after COVID, indicating overall inflationary pressure.</t>
  </si>
  <si>
    <t>Difference (%)</t>
  </si>
  <si>
    <t>left(f21,find(" ",f21))</t>
  </si>
  <si>
    <t>right(f21,len(f21)-find(" ",f21))</t>
  </si>
  <si>
    <t xml:space="preserve">cpi = consumer price index </t>
  </si>
  <si>
    <t xml:space="preserve">which measures how price change over time </t>
  </si>
  <si>
    <t>CONSUMER PRICE INDEX (CPI) INFLATION ANALYSIS</t>
  </si>
  <si>
    <t>Project Summary | 2017–2023</t>
  </si>
  <si>
    <t>This project analyzes Consumer Price Index (CPI) inflation trends across different categories and time periods. The analysis focuses on overall inflation trends, food price movements, category-level CPI changes, the impact of COVID-19, and the relationship between fuel price fluctuations and inflation.</t>
  </si>
  <si>
    <t>KEY OBJECTIVES</t>
  </si>
  <si>
    <t>KEY FINDINGS</t>
  </si>
  <si>
    <t>① Analyze the contribution of broader categories to overall CPI.</t>
  </si>
  <si>
    <t>② Identify Year-over-Year (YoY) inflation trends.</t>
  </si>
  <si>
    <t>③ Examine Month-over-Month (MoM) food inflation.</t>
  </si>
  <si>
    <t>④ Measure changes in food subcategory CPI.</t>
  </si>
  <si>
    <t>⑤ Compare Pre-COVID and Post-COVID inflation.</t>
  </si>
  <si>
    <t>Food – 51.73%</t>
  </si>
  <si>
    <t>2022 – 6.62%</t>
  </si>
  <si>
    <t>2023 – 3.18%</t>
  </si>
  <si>
    <t>① Largest CPI Contributor</t>
  </si>
  <si>
    <t>② Highest YoY Inflation</t>
  </si>
  <si>
    <t>③ Lowest/Latest YoY</t>
  </si>
  <si>
    <t>④ Highest Food MoM Inflation</t>
  </si>
  <si>
    <t>⑤ Lowest Food MoM Inflation</t>
  </si>
  <si>
    <t>⑥ Largest Food CPI Increase</t>
  </si>
  <si>
    <t>ANALYSIS COVERED</t>
  </si>
  <si>
    <t>Food contributes 51.73% to the CPI basket.</t>
  </si>
  <si>
    <t>Inflation peaked at 6.62% in 2022.</t>
  </si>
  <si>
    <t>Food inflation showed significant monthly fluctuations.</t>
  </si>
  <si>
    <t>Spices increased the most, while Oils &amp; Fats declined significantly.</t>
  </si>
  <si>
    <t>Inflation increased across major categories after COVID-19.</t>
  </si>
  <si>
    <t>① Category Contribution</t>
  </si>
  <si>
    <t>② YoY Inflation Trend</t>
  </si>
  <si>
    <t>③ Food MoM Analysis</t>
  </si>
  <si>
    <t>⑤ COVID Impact</t>
  </si>
  <si>
    <t>⑥ Fuel Correlation</t>
  </si>
  <si>
    <t>CONCLUSION</t>
  </si>
  <si>
    <t>Crude Oil</t>
  </si>
  <si>
    <t>Crude Oil MoM %</t>
  </si>
  <si>
    <t>Correlation with Crude Oil MoM %</t>
  </si>
  <si>
    <t>Cereals and products MoM%</t>
  </si>
  <si>
    <t>Meat and ish MoM%</t>
  </si>
  <si>
    <t>Egg MoM%</t>
  </si>
  <si>
    <t>Milk and products MoM%</t>
  </si>
  <si>
    <t>Oils and fats MoM%</t>
  </si>
  <si>
    <t>Fruits MoM%</t>
  </si>
  <si>
    <t>Vegetables MoM%</t>
  </si>
  <si>
    <t>Pulses and products MoM%</t>
  </si>
  <si>
    <t>Sugar and Confectionery MoM%</t>
  </si>
  <si>
    <t>Spices MoM%</t>
  </si>
  <si>
    <t>Non-alcoholic beverages MoM%</t>
  </si>
  <si>
    <t>Prepared meals, snacks, sweets etc. MoM%</t>
  </si>
  <si>
    <t>Food and beverages MoM%</t>
  </si>
  <si>
    <t>Pan, tobacco and intoxicants MoM%</t>
  </si>
  <si>
    <t>Clothing MoM%</t>
  </si>
  <si>
    <t>Footwear MoM%</t>
  </si>
  <si>
    <t>Clothing and footwear MoM%</t>
  </si>
  <si>
    <t>Housing MoM%</t>
  </si>
  <si>
    <t>Fuel and light MoM%</t>
  </si>
  <si>
    <t>Health  MoM%</t>
  </si>
  <si>
    <t>Transport and communication MoM%</t>
  </si>
  <si>
    <t xml:space="preserve"> Recreation and amusement MoM%</t>
  </si>
  <si>
    <t xml:space="preserve"> Personal care and effects MoM%</t>
  </si>
  <si>
    <t>Miscellaneous MoM%</t>
  </si>
  <si>
    <t>General index MoM%</t>
  </si>
  <si>
    <t>Crude Oil MoM%</t>
  </si>
  <si>
    <t>Sub-Category</t>
  </si>
  <si>
    <t xml:space="preserve">Cereals and products </t>
  </si>
  <si>
    <t>Meat and ish</t>
  </si>
  <si>
    <t xml:space="preserve">Egg </t>
  </si>
  <si>
    <t xml:space="preserve">Oils and fats </t>
  </si>
  <si>
    <t xml:space="preserve">Fruits </t>
  </si>
  <si>
    <t xml:space="preserve">Sugar and Confectionery </t>
  </si>
  <si>
    <t xml:space="preserve">Spices </t>
  </si>
  <si>
    <t xml:space="preserve">Pan, tobacco and intoxicants </t>
  </si>
  <si>
    <t xml:space="preserve">Footwear </t>
  </si>
  <si>
    <t xml:space="preserve">Housing </t>
  </si>
  <si>
    <t xml:space="preserve">Household goods and services </t>
  </si>
  <si>
    <t xml:space="preserve">Fuel and light </t>
  </si>
  <si>
    <t xml:space="preserve">Health </t>
  </si>
  <si>
    <t xml:space="preserve"> Recreation and amusement</t>
  </si>
  <si>
    <t xml:space="preserve">Education </t>
  </si>
  <si>
    <t xml:space="preserve"> Personal care and effects</t>
  </si>
  <si>
    <t xml:space="preserve">Miscellaneous </t>
  </si>
  <si>
    <t xml:space="preserve">General index </t>
  </si>
  <si>
    <t>Impact of Crude Oil Price Fluctuations on CPI Categories                                                                      (Correlation Analysis: 2021–2023)</t>
  </si>
  <si>
    <t>Impact of Crude Oil Price Fluctuations on CPI Sub-Categories                                                                      (Correlation Analysis: 2021–2023)</t>
  </si>
  <si>
    <t>strength</t>
  </si>
  <si>
    <t xml:space="preserve">Strength </t>
  </si>
  <si>
    <t>Very Week</t>
  </si>
  <si>
    <t>Weak Positive</t>
  </si>
  <si>
    <t>Weak Negative</t>
  </si>
  <si>
    <t>Very Weak Negative</t>
  </si>
  <si>
    <t>Very Weak Positive</t>
  </si>
  <si>
    <t>⑥Analyze the relationship between Crude Oil price fluctuations and CPI categories and sub-categories using correlation analysis.</t>
  </si>
  <si>
    <t>Oct 2022 – 1.01%</t>
  </si>
  <si>
    <t>Fuel and Light — 0.13</t>
  </si>
  <si>
    <t>Meat and Fish — 0.39</t>
  </si>
  <si>
    <t>Dec 2022 –  -1.35%</t>
  </si>
  <si>
    <t>Meat and Fish showed the strongest positive relationship with Crude Oil price fluctuations among the analyzed sub-categories, with a correlation of 0.398.</t>
  </si>
  <si>
    <t>The analysis shows that Food is the largest contributor to the CPI basket, while inflation peaked in 2022 and eased in 2023. Food categories experienced notable price fluctuations, and inflation increased after COVID-19. Correlation analysis indicates that Crude Oil price changes generally had a weak relationship with CPI movements, with Meat and Fish showing the strongest positive correlation (0.398).</t>
  </si>
  <si>
    <t>Spices —  +30.9 points</t>
  </si>
  <si>
    <t>④ Food Sub-Category CPI Change</t>
  </si>
  <si>
    <t>⑦ Highest Category-Level Correlation</t>
  </si>
  <si>
    <t xml:space="preserve">      Highest Sub-Category Correlation</t>
  </si>
  <si>
    <t>By December, fresh winter vegetables (like tomatoes and onions) arrive in large quantities. More supply means prices drop. Cooler weather also helps vegetables stay fresh longer, so there's less wastage and even more supply in the market — pushing prices down further.</t>
  </si>
  <si>
    <t>In October, the new crop of vegetables hasn't fully arrived in the market yet, so supply is low. On top of that, the monsoon withdrew unevenly in 2022, which damaged crops and disrupted transport — making supply even tighter. At the same time, festival season (Diwali) increased demand for food. Less supply + more demand = higher prices.</t>
  </si>
  <si>
    <t>In 2022, oil prices went up and the Russia-Ukraine war disturbed supplies. COVID effects were also still there. All this together pushed prices up a lot.</t>
  </si>
  <si>
    <t>COVID disturbed supply of goods from 2020. When demand came back fast, supply couldn't match it. This gap kept prices high for 3 years.</t>
  </si>
  <si>
    <t>By 2023, supply improved and oil prices became stable. The war's effect also reduced. So prices didn't rise as fast, and inflation dropped to 3.18%.</t>
  </si>
  <si>
    <t>Spices like jeera, chilli, and turmeric had lower crop output due to bad weather in growing regions. Less supply with steady demand pushed their prices up a lot.</t>
  </si>
  <si>
    <t>Global edible oil prices (palm oil, sunflower oil) fell sharply in this period after export bans were lifted and supply improved worldwide. This made oils cheaper in India too.</t>
  </si>
  <si>
    <t>After the high vegetable prices in late 2022, fresh harvests arrived in bulk in winter/spring, increasing supply. More supply meant lower prices, so vegetables became cheaper by May 2023.</t>
  </si>
  <si>
    <t>After COVID, crude oil prices went up a lot, making petrol and diesel costlier.</t>
  </si>
  <si>
    <t>Supply chains were disturbed during COVID, and demand rose faster than supply once things reopened. Higher fuel costs also made transporting food more expensive, pushing up both categories.</t>
  </si>
  <si>
    <t>Since most categories (transport, food, fuel) became costlier at the same time, the overall CPI also went up, showing that inflation was rising across the whole economy, not just one sector.</t>
  </si>
  <si>
    <r>
      <rPr>
        <b/>
        <sz val="11"/>
        <color theme="1"/>
        <rFont val="Calibri"/>
        <family val="2"/>
        <scheme val="minor"/>
      </rPr>
      <t>Meat and Fish (0.398)</t>
    </r>
    <r>
      <rPr>
        <sz val="11"/>
        <color theme="1"/>
        <rFont val="Calibri"/>
        <family val="2"/>
        <scheme val="minor"/>
      </rPr>
      <t xml:space="preserve"> shows the highest positive correlation with Crude Oil MoM, although the relationship is weak.</t>
    </r>
  </si>
  <si>
    <r>
      <rPr>
        <b/>
        <sz val="11"/>
        <color theme="1"/>
        <rFont val="Calibri"/>
        <family val="2"/>
        <scheme val="minor"/>
      </rPr>
      <t>Oils and Fats (0.384)</t>
    </r>
    <r>
      <rPr>
        <sz val="11"/>
        <color theme="1"/>
        <rFont val="Calibri"/>
        <family val="2"/>
        <scheme val="minor"/>
      </rPr>
      <t xml:space="preserve"> show the second-highest positive correlation, although the relationship remains weak.</t>
    </r>
  </si>
  <si>
    <r>
      <rPr>
        <b/>
        <sz val="11"/>
        <color theme="1"/>
        <rFont val="Calibri"/>
        <family val="2"/>
        <scheme val="minor"/>
      </rPr>
      <t>Cereals and Products (-0.284), Milk and Products (-0.275)</t>
    </r>
    <r>
      <rPr>
        <sz val="11"/>
        <color theme="1"/>
        <rFont val="Calibri"/>
        <family val="2"/>
        <scheme val="minor"/>
      </rPr>
      <t xml:space="preserve">, and </t>
    </r>
    <r>
      <rPr>
        <b/>
        <sz val="11"/>
        <color theme="1"/>
        <rFont val="Calibri"/>
        <family val="2"/>
        <scheme val="minor"/>
      </rPr>
      <t>Pulses and Products (-0.247)</t>
    </r>
    <r>
      <rPr>
        <sz val="11"/>
        <color theme="1"/>
        <rFont val="Calibri"/>
        <family val="2"/>
        <scheme val="minor"/>
      </rPr>
      <t xml:space="preserve"> show the strongest negative relationships, although these remain weak negative correlations.</t>
    </r>
  </si>
  <si>
    <r>
      <rPr>
        <b/>
        <sz val="11"/>
        <color theme="1"/>
        <rFont val="Calibri"/>
        <family val="2"/>
        <scheme val="minor"/>
      </rPr>
      <t>Fuel and Light (0.13)</t>
    </r>
    <r>
      <rPr>
        <sz val="11"/>
        <color theme="1"/>
        <rFont val="Calibri"/>
        <family val="2"/>
        <scheme val="minor"/>
      </rPr>
      <t xml:space="preserve"> has the highest positive correlation, followed closely by </t>
    </r>
    <r>
      <rPr>
        <b/>
        <sz val="11"/>
        <color theme="1"/>
        <rFont val="Calibri"/>
        <family val="2"/>
        <scheme val="minor"/>
      </rPr>
      <t>Recreation and Amusement (0.12)</t>
    </r>
    <r>
      <rPr>
        <sz val="11"/>
        <color theme="1"/>
        <rFont val="Calibri"/>
        <family val="2"/>
        <scheme val="minor"/>
      </rPr>
      <t>.</t>
    </r>
  </si>
  <si>
    <r>
      <rPr>
        <b/>
        <sz val="11"/>
        <color theme="1"/>
        <rFont val="Calibri"/>
        <family val="2"/>
        <scheme val="minor"/>
      </rPr>
      <t>Education (-0.11)</t>
    </r>
    <r>
      <rPr>
        <sz val="11"/>
        <color theme="1"/>
        <rFont val="Calibri"/>
        <family val="2"/>
        <scheme val="minor"/>
      </rPr>
      <t xml:space="preserve"> is the only category with a negative correlation, indicating a very weak inverse relationship with crude oil price changes.</t>
    </r>
  </si>
  <si>
    <r>
      <t xml:space="preserve">Overall, </t>
    </r>
    <r>
      <rPr>
        <b/>
        <sz val="11"/>
        <color theme="1"/>
        <rFont val="Calibri"/>
        <family val="2"/>
        <scheme val="minor"/>
      </rPr>
      <t>crude oil</t>
    </r>
    <r>
      <rPr>
        <sz val="11"/>
        <color theme="1"/>
        <rFont val="Calibri"/>
        <family val="2"/>
        <scheme val="minor"/>
      </rPr>
      <t xml:space="preserve"> price fluctuations do not show a strong relationship with the movement of these CPI categories during </t>
    </r>
    <r>
      <rPr>
        <b/>
        <sz val="11"/>
        <color theme="1"/>
        <rFont val="Calibri"/>
        <family val="2"/>
        <scheme val="minor"/>
      </rPr>
      <t>2021–2023</t>
    </r>
    <r>
      <rPr>
        <sz val="11"/>
        <color theme="1"/>
        <rFont val="Calibri"/>
        <family val="2"/>
        <scheme val="minor"/>
      </rPr>
      <t>.</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</si>
</sst>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11">
    <font>
      <sz val="11"/>
      <color theme="1"/>
      <name val="Calibri"/>
      <family val="2"/>
      <scheme val="minor"/>
    </font>
    <font>
      <sz val="11"/>
      <color theme="1"/>
      <name val="Calibri"/>
      <family val="2"/>
      <scheme val="minor"/>
    </font>
    <font>
      <b/>
      <sz val="11"/>
      <color theme="1"/>
      <name val="Calibri"/>
      <family val="2"/>
      <scheme val="minor"/>
    </font>
    <font>
      <sz val="11"/>
      <name val="Carlito"/>
    </font>
    <font>
      <b/>
      <sz val="12"/>
      <color theme="1"/>
      <name val="Calibri"/>
      <family val="2"/>
      <scheme val="minor"/>
    </font>
    <font>
      <sz val="14"/>
      <color theme="1"/>
      <name val="Calibri"/>
      <family val="2"/>
      <scheme val="minor"/>
    </font>
    <font>
      <b/>
      <sz val="22"/>
      <color theme="1"/>
      <name val="Calibri"/>
      <family val="2"/>
      <scheme val="minor"/>
    </font>
    <font>
      <b/>
      <sz val="20"/>
      <color theme="1"/>
      <name val="Calibri"/>
      <family val="2"/>
      <scheme val="minor"/>
    </font>
    <font>
      <b/>
      <sz val="16"/>
      <color theme="1"/>
      <name val="Calibri"/>
      <family val="2"/>
      <scheme val="minor"/>
    </font>
    <font>
      <b/>
      <sz val="18"/>
      <color theme="1"/>
      <name val="Calibri"/>
      <family val="2"/>
      <scheme val="minor"/>
    </font>
    <font>
      <b/>
      <sz val="14"/>
      <color theme="1"/>
      <name val="Calibri"/>
      <family val="2"/>
      <scheme val="minor"/>
    </font>
  </fonts>
  <fills count="3">
    <fill>
      <patternFill patternType="none"/>
    </fill>
    <fill>
      <patternFill patternType="gray125"/>
    </fill>
    <fill>
      <patternFill patternType="solid">
        <fgColor rgb="FFFFFF00"/>
        <bgColor indexed="64"/>
      </patternFill>
    </fill>
  </fills>
  <borders count="16">
    <border>
      <left/>
      <right/>
      <top/>
      <bottom/>
      <diagonal/>
    </border>
    <border>
      <left style="medium">
        <color indexed="64"/>
      </left>
      <right style="medium">
        <color indexed="64"/>
      </right>
      <top style="medium">
        <color indexed="64"/>
      </top>
      <bottom style="medium">
        <color indexed="64"/>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right/>
      <top/>
      <bottom style="medium">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medium">
        <color indexed="64"/>
      </right>
      <top style="medium">
        <color indexed="64"/>
      </top>
      <bottom/>
      <diagonal/>
    </border>
  </borders>
  <cellStyleXfs count="3">
    <xf numFmtId="0" fontId="0" fillId="0" borderId="0"/>
    <xf numFmtId="9" fontId="1" fillId="0" borderId="0" applyFont="0" applyFill="0" applyBorder="0" applyAlignment="0" applyProtection="0"/>
    <xf numFmtId="0" fontId="3" fillId="0" borderId="0"/>
  </cellStyleXfs>
  <cellXfs count="179">
    <xf numFmtId="0" fontId="0" fillId="0" borderId="0" xfId="0"/>
    <xf numFmtId="0" fontId="2" fillId="2" borderId="0" xfId="0" applyFont="1" applyFill="1"/>
    <xf numFmtId="0" fontId="0" fillId="0" borderId="0" xfId="0" pivotButton="1"/>
    <xf numFmtId="0" fontId="0" fillId="0" borderId="0" xfId="0" applyAlignment="1">
      <alignment horizontal="left"/>
    </xf>
    <xf numFmtId="0" fontId="0" fillId="0" borderId="2" xfId="0" applyBorder="1"/>
    <xf numFmtId="0" fontId="0" fillId="0" borderId="3" xfId="0" applyBorder="1"/>
    <xf numFmtId="0" fontId="0" fillId="0" borderId="4" xfId="0" applyBorder="1"/>
    <xf numFmtId="0" fontId="0" fillId="0" borderId="5" xfId="0" applyBorder="1"/>
    <xf numFmtId="0" fontId="2" fillId="0" borderId="6" xfId="0" applyFont="1" applyBorder="1"/>
    <xf numFmtId="0" fontId="2" fillId="0" borderId="7" xfId="0" applyFont="1" applyBorder="1"/>
    <xf numFmtId="0" fontId="2" fillId="0" borderId="8" xfId="0" applyFont="1" applyBorder="1"/>
    <xf numFmtId="0" fontId="0" fillId="0" borderId="9" xfId="0" applyBorder="1"/>
    <xf numFmtId="10" fontId="0" fillId="0" borderId="0" xfId="0" applyNumberFormat="1"/>
    <xf numFmtId="0" fontId="0" fillId="2" borderId="0" xfId="0" applyFill="1" applyAlignment="1">
      <alignment horizontal="left"/>
    </xf>
    <xf numFmtId="10" fontId="0" fillId="2" borderId="0" xfId="0" applyNumberFormat="1" applyFill="1"/>
    <xf numFmtId="2" fontId="0" fillId="0" borderId="0" xfId="0" applyNumberFormat="1"/>
    <xf numFmtId="0" fontId="0" fillId="0" borderId="10" xfId="0" applyBorder="1"/>
    <xf numFmtId="10" fontId="0" fillId="0" borderId="10" xfId="1" applyNumberFormat="1" applyFont="1" applyBorder="1"/>
    <xf numFmtId="0" fontId="0" fillId="0" borderId="11" xfId="0" applyBorder="1"/>
    <xf numFmtId="10" fontId="0" fillId="0" borderId="11" xfId="1" applyNumberFormat="1" applyFont="1" applyBorder="1"/>
    <xf numFmtId="0" fontId="0" fillId="2" borderId="10" xfId="0" applyFill="1" applyBorder="1"/>
    <xf numFmtId="10" fontId="0" fillId="2" borderId="10" xfId="1" applyNumberFormat="1" applyFont="1" applyFill="1" applyBorder="1"/>
    <xf numFmtId="10" fontId="0" fillId="0" borderId="3" xfId="1" applyNumberFormat="1" applyFont="1" applyBorder="1"/>
    <xf numFmtId="10" fontId="0" fillId="0" borderId="5" xfId="1" applyNumberFormat="1" applyFont="1" applyBorder="1"/>
    <xf numFmtId="0" fontId="0" fillId="0" borderId="6" xfId="0" applyBorder="1"/>
    <xf numFmtId="0" fontId="0" fillId="0" borderId="8" xfId="0" applyBorder="1"/>
    <xf numFmtId="0" fontId="0" fillId="0" borderId="7" xfId="0" applyBorder="1"/>
    <xf numFmtId="0" fontId="0" fillId="2" borderId="3" xfId="0" applyFill="1" applyBorder="1"/>
    <xf numFmtId="0" fontId="0" fillId="2" borderId="2" xfId="0" applyFill="1" applyBorder="1"/>
    <xf numFmtId="10" fontId="0" fillId="2" borderId="3" xfId="1" applyNumberFormat="1" applyFont="1" applyFill="1" applyBorder="1"/>
    <xf numFmtId="0" fontId="2" fillId="0" borderId="2" xfId="0" applyFont="1" applyBorder="1"/>
    <xf numFmtId="10" fontId="0" fillId="0" borderId="0" xfId="1" applyNumberFormat="1" applyFont="1" applyBorder="1"/>
    <xf numFmtId="0" fontId="2" fillId="0" borderId="4" xfId="0" applyFont="1" applyBorder="1"/>
    <xf numFmtId="10" fontId="0" fillId="0" borderId="9" xfId="1" applyNumberFormat="1" applyFont="1" applyBorder="1"/>
    <xf numFmtId="10" fontId="0" fillId="0" borderId="9" xfId="0" applyNumberFormat="1" applyBorder="1"/>
    <xf numFmtId="10" fontId="0" fillId="0" borderId="10" xfId="0" applyNumberFormat="1" applyBorder="1"/>
    <xf numFmtId="10" fontId="0" fillId="0" borderId="11" xfId="0" applyNumberFormat="1" applyBorder="1"/>
    <xf numFmtId="0" fontId="2" fillId="0" borderId="1" xfId="0" applyFont="1" applyBorder="1"/>
    <xf numFmtId="2" fontId="0" fillId="0" borderId="3" xfId="0" applyNumberFormat="1" applyBorder="1"/>
    <xf numFmtId="2" fontId="0" fillId="0" borderId="5" xfId="0" applyNumberFormat="1" applyBorder="1"/>
    <xf numFmtId="10" fontId="0" fillId="0" borderId="0" xfId="1" applyNumberFormat="1" applyFont="1" applyFill="1" applyBorder="1"/>
    <xf numFmtId="10" fontId="0" fillId="0" borderId="3" xfId="1" applyNumberFormat="1" applyFont="1" applyFill="1" applyBorder="1"/>
    <xf numFmtId="10" fontId="0" fillId="0" borderId="9" xfId="1" applyNumberFormat="1" applyFont="1" applyFill="1" applyBorder="1"/>
    <xf numFmtId="10" fontId="0" fillId="0" borderId="5" xfId="1" applyNumberFormat="1" applyFont="1" applyFill="1" applyBorder="1"/>
    <xf numFmtId="0" fontId="2" fillId="0" borderId="0" xfId="0" applyFont="1"/>
    <xf numFmtId="0" fontId="0" fillId="0" borderId="1" xfId="0" applyBorder="1" applyAlignment="1">
      <alignment wrapText="1"/>
    </xf>
    <xf numFmtId="0" fontId="2" fillId="2" borderId="1" xfId="0" applyFont="1" applyFill="1" applyBorder="1" applyAlignment="1">
      <alignment horizontal="center" vertical="center"/>
    </xf>
    <xf numFmtId="0" fontId="2" fillId="2" borderId="6" xfId="0" applyFont="1" applyFill="1" applyBorder="1" applyAlignment="1">
      <alignment vertical="center"/>
    </xf>
    <xf numFmtId="0" fontId="2" fillId="2" borderId="8" xfId="0" applyFont="1" applyFill="1" applyBorder="1" applyAlignment="1">
      <alignment vertical="center"/>
    </xf>
    <xf numFmtId="0" fontId="2" fillId="2" borderId="7" xfId="0" applyFont="1" applyFill="1" applyBorder="1" applyAlignment="1">
      <alignment vertical="center"/>
    </xf>
    <xf numFmtId="0" fontId="2" fillId="0" borderId="1" xfId="0" applyFont="1" applyBorder="1" applyAlignment="1">
      <alignment horizontal="center"/>
    </xf>
    <xf numFmtId="0" fontId="0" fillId="0" borderId="12" xfId="0" applyBorder="1"/>
    <xf numFmtId="0" fontId="0" fillId="0" borderId="13" xfId="0" applyBorder="1"/>
    <xf numFmtId="0" fontId="0" fillId="0" borderId="14" xfId="0" applyBorder="1"/>
    <xf numFmtId="0" fontId="0" fillId="0" borderId="2" xfId="0" applyBorder="1" applyAlignment="1">
      <alignment horizontal="left" vertical="center"/>
    </xf>
    <xf numFmtId="0" fontId="0" fillId="0" borderId="0" xfId="0" applyAlignment="1">
      <alignment horizontal="left" vertical="center"/>
    </xf>
    <xf numFmtId="0" fontId="0" fillId="0" borderId="3" xfId="0" applyBorder="1" applyAlignment="1">
      <alignment horizontal="left" vertical="center"/>
    </xf>
    <xf numFmtId="0" fontId="2" fillId="0" borderId="0" xfId="0" applyFont="1" applyAlignment="1">
      <alignment horizontal="left" vertical="center"/>
    </xf>
    <xf numFmtId="0" fontId="2" fillId="0" borderId="3" xfId="0" applyFont="1" applyBorder="1" applyAlignment="1">
      <alignment horizontal="left" vertical="center"/>
    </xf>
    <xf numFmtId="10" fontId="0" fillId="0" borderId="8" xfId="1" applyNumberFormat="1" applyFont="1" applyBorder="1"/>
    <xf numFmtId="10" fontId="0" fillId="0" borderId="0" xfId="1" applyNumberFormat="1" applyFont="1"/>
    <xf numFmtId="10" fontId="0" fillId="0" borderId="1" xfId="1" applyNumberFormat="1" applyFont="1" applyFill="1" applyBorder="1"/>
    <xf numFmtId="0" fontId="0" fillId="0" borderId="15" xfId="0" applyBorder="1"/>
    <xf numFmtId="0" fontId="2" fillId="0" borderId="1" xfId="0" applyFont="1" applyBorder="1" applyAlignment="1">
      <alignment horizontal="center" vertical="center"/>
    </xf>
    <xf numFmtId="0" fontId="2" fillId="0" borderId="7" xfId="0" applyFont="1" applyBorder="1" applyAlignment="1">
      <alignment horizontal="center" vertical="center"/>
    </xf>
    <xf numFmtId="164" fontId="0" fillId="0" borderId="15" xfId="0" applyNumberFormat="1" applyBorder="1"/>
    <xf numFmtId="164" fontId="0" fillId="0" borderId="10" xfId="0" applyNumberFormat="1" applyBorder="1"/>
    <xf numFmtId="164" fontId="0" fillId="0" borderId="11" xfId="0" applyNumberFormat="1" applyBorder="1"/>
    <xf numFmtId="0" fontId="2" fillId="0" borderId="0" xfId="0" applyFont="1" applyAlignment="1">
      <alignment vertical="center"/>
    </xf>
    <xf numFmtId="0" fontId="0" fillId="0" borderId="3" xfId="0" applyBorder="1" applyAlignment="1">
      <alignment horizontal="left"/>
    </xf>
    <xf numFmtId="0" fontId="0" fillId="0" borderId="1" xfId="0" applyBorder="1"/>
    <xf numFmtId="0" fontId="0" fillId="0" borderId="0" xfId="0" applyAlignment="1">
      <alignment vertical="top" wrapText="1"/>
    </xf>
    <xf numFmtId="0" fontId="2" fillId="2" borderId="12" xfId="0" applyFont="1" applyFill="1" applyBorder="1" applyAlignment="1">
      <alignment horizontal="center" wrapText="1"/>
    </xf>
    <xf numFmtId="0" fontId="2" fillId="2" borderId="13" xfId="0" applyFont="1" applyFill="1" applyBorder="1" applyAlignment="1">
      <alignment horizontal="center" wrapText="1"/>
    </xf>
    <xf numFmtId="0" fontId="2" fillId="2" borderId="14" xfId="0" applyFont="1" applyFill="1" applyBorder="1" applyAlignment="1">
      <alignment horizontal="center" wrapText="1"/>
    </xf>
    <xf numFmtId="0" fontId="2" fillId="2" borderId="4" xfId="0" applyFont="1" applyFill="1" applyBorder="1" applyAlignment="1">
      <alignment horizontal="center" wrapText="1"/>
    </xf>
    <xf numFmtId="0" fontId="2" fillId="2" borderId="9" xfId="0" applyFont="1" applyFill="1" applyBorder="1" applyAlignment="1">
      <alignment horizontal="center" wrapText="1"/>
    </xf>
    <xf numFmtId="0" fontId="2" fillId="2" borderId="5" xfId="0" applyFont="1" applyFill="1" applyBorder="1" applyAlignment="1">
      <alignment horizontal="center" wrapText="1"/>
    </xf>
    <xf numFmtId="0" fontId="2" fillId="0" borderId="6" xfId="0" applyFont="1" applyBorder="1" applyAlignment="1">
      <alignment horizontal="center"/>
    </xf>
    <xf numFmtId="0" fontId="2" fillId="0" borderId="8" xfId="0" applyFont="1" applyBorder="1" applyAlignment="1">
      <alignment horizontal="center"/>
    </xf>
    <xf numFmtId="0" fontId="2" fillId="0" borderId="7" xfId="0" applyFont="1" applyBorder="1" applyAlignment="1">
      <alignment horizontal="center"/>
    </xf>
    <xf numFmtId="0" fontId="2" fillId="2" borderId="6" xfId="0" applyFont="1" applyFill="1" applyBorder="1" applyAlignment="1">
      <alignment horizontal="center" vertical="center"/>
    </xf>
    <xf numFmtId="0" fontId="2" fillId="2" borderId="8" xfId="0" applyFont="1" applyFill="1" applyBorder="1" applyAlignment="1">
      <alignment horizontal="center" vertical="center"/>
    </xf>
    <xf numFmtId="0" fontId="2" fillId="2" borderId="7" xfId="0" applyFont="1" applyFill="1" applyBorder="1" applyAlignment="1">
      <alignment horizontal="center" vertical="center"/>
    </xf>
    <xf numFmtId="0" fontId="0" fillId="0" borderId="4" xfId="0" applyBorder="1" applyAlignment="1">
      <alignment horizontal="left"/>
    </xf>
    <xf numFmtId="0" fontId="0" fillId="0" borderId="9" xfId="0" applyBorder="1" applyAlignment="1">
      <alignment horizontal="left"/>
    </xf>
    <xf numFmtId="0" fontId="0" fillId="0" borderId="5" xfId="0" applyBorder="1" applyAlignment="1">
      <alignment horizontal="left"/>
    </xf>
    <xf numFmtId="0" fontId="0" fillId="0" borderId="12" xfId="0" applyBorder="1" applyAlignment="1">
      <alignment horizontal="left" vertical="center"/>
    </xf>
    <xf numFmtId="0" fontId="0" fillId="0" borderId="13" xfId="0" applyBorder="1" applyAlignment="1">
      <alignment horizontal="left" vertical="center"/>
    </xf>
    <xf numFmtId="0" fontId="0" fillId="0" borderId="14" xfId="0" applyBorder="1" applyAlignment="1">
      <alignment horizontal="left" vertical="center"/>
    </xf>
    <xf numFmtId="0" fontId="2" fillId="2" borderId="12" xfId="0" applyFont="1" applyFill="1" applyBorder="1" applyAlignment="1">
      <alignment horizontal="center" vertical="center" wrapText="1"/>
    </xf>
    <xf numFmtId="0" fontId="2" fillId="2" borderId="14" xfId="0" applyFont="1" applyFill="1" applyBorder="1" applyAlignment="1">
      <alignment horizontal="center" vertical="center" wrapText="1"/>
    </xf>
    <xf numFmtId="0" fontId="2" fillId="2" borderId="4" xfId="0" applyFont="1" applyFill="1" applyBorder="1" applyAlignment="1">
      <alignment horizontal="center" vertical="center" wrapText="1"/>
    </xf>
    <xf numFmtId="0" fontId="2" fillId="2" borderId="5" xfId="0" applyFont="1" applyFill="1" applyBorder="1" applyAlignment="1">
      <alignment horizontal="center" vertical="center" wrapText="1"/>
    </xf>
    <xf numFmtId="0" fontId="0" fillId="0" borderId="13" xfId="0" applyBorder="1" applyAlignment="1">
      <alignment horizontal="left" vertical="top" wrapText="1"/>
    </xf>
    <xf numFmtId="0" fontId="0" fillId="0" borderId="0" xfId="0" applyAlignment="1">
      <alignment horizontal="left" vertical="top" wrapText="1"/>
    </xf>
    <xf numFmtId="0" fontId="2" fillId="2" borderId="6" xfId="0" applyFont="1" applyFill="1" applyBorder="1" applyAlignment="1">
      <alignment horizontal="center" vertical="center" wrapText="1"/>
    </xf>
    <xf numFmtId="0" fontId="2" fillId="2" borderId="8" xfId="0" applyFont="1" applyFill="1" applyBorder="1" applyAlignment="1">
      <alignment horizontal="center" vertical="center" wrapText="1"/>
    </xf>
    <xf numFmtId="0" fontId="2" fillId="2" borderId="7" xfId="0" applyFont="1" applyFill="1" applyBorder="1" applyAlignment="1">
      <alignment horizontal="center" vertical="center" wrapText="1"/>
    </xf>
    <xf numFmtId="0" fontId="2" fillId="2" borderId="13" xfId="0" applyFont="1" applyFill="1" applyBorder="1" applyAlignment="1">
      <alignment horizontal="center" vertical="center" wrapText="1"/>
    </xf>
    <xf numFmtId="0" fontId="2" fillId="2" borderId="9" xfId="0" applyFont="1" applyFill="1" applyBorder="1" applyAlignment="1">
      <alignment horizontal="center" vertical="center" wrapText="1"/>
    </xf>
    <xf numFmtId="0" fontId="0" fillId="0" borderId="12" xfId="0" applyBorder="1" applyAlignment="1">
      <alignment horizontal="left" vertical="center" wrapText="1"/>
    </xf>
    <xf numFmtId="0" fontId="0" fillId="0" borderId="13" xfId="0" applyBorder="1" applyAlignment="1">
      <alignment horizontal="left" vertical="center" wrapText="1"/>
    </xf>
    <xf numFmtId="0" fontId="0" fillId="0" borderId="14" xfId="0" applyBorder="1" applyAlignment="1">
      <alignment horizontal="left" vertical="center" wrapText="1"/>
    </xf>
    <xf numFmtId="0" fontId="0" fillId="0" borderId="4" xfId="0" applyBorder="1" applyAlignment="1">
      <alignment horizontal="left" vertical="center" wrapText="1"/>
    </xf>
    <xf numFmtId="0" fontId="0" fillId="0" borderId="9" xfId="0" applyBorder="1" applyAlignment="1">
      <alignment horizontal="left" vertical="center" wrapText="1"/>
    </xf>
    <xf numFmtId="0" fontId="0" fillId="0" borderId="5" xfId="0" applyBorder="1" applyAlignment="1">
      <alignment horizontal="left" vertical="center" wrapText="1"/>
    </xf>
    <xf numFmtId="0" fontId="2" fillId="2" borderId="6" xfId="0" applyFont="1" applyFill="1" applyBorder="1" applyAlignment="1">
      <alignment horizontal="center"/>
    </xf>
    <xf numFmtId="0" fontId="2" fillId="2" borderId="8" xfId="0" applyFont="1" applyFill="1" applyBorder="1" applyAlignment="1">
      <alignment horizontal="center"/>
    </xf>
    <xf numFmtId="0" fontId="2" fillId="2" borderId="7" xfId="0" applyFont="1" applyFill="1" applyBorder="1" applyAlignment="1">
      <alignment horizontal="center"/>
    </xf>
    <xf numFmtId="0" fontId="0" fillId="0" borderId="12" xfId="0" applyBorder="1" applyAlignment="1">
      <alignment horizontal="center" vertical="center" wrapText="1"/>
    </xf>
    <xf numFmtId="0" fontId="0" fillId="0" borderId="13" xfId="0" applyBorder="1" applyAlignment="1">
      <alignment horizontal="center" vertical="center" wrapText="1"/>
    </xf>
    <xf numFmtId="0" fontId="0" fillId="0" borderId="14" xfId="0" applyBorder="1" applyAlignment="1">
      <alignment horizontal="center" vertical="center" wrapText="1"/>
    </xf>
    <xf numFmtId="0" fontId="0" fillId="0" borderId="4" xfId="0" applyBorder="1" applyAlignment="1">
      <alignment horizontal="center" vertical="center" wrapText="1"/>
    </xf>
    <xf numFmtId="0" fontId="0" fillId="0" borderId="9" xfId="0" applyBorder="1" applyAlignment="1">
      <alignment horizontal="center" vertical="center" wrapText="1"/>
    </xf>
    <xf numFmtId="0" fontId="0" fillId="0" borderId="5" xfId="0" applyBorder="1" applyAlignment="1">
      <alignment horizontal="center" vertical="center" wrapText="1"/>
    </xf>
    <xf numFmtId="0" fontId="4" fillId="2" borderId="12" xfId="0" applyFont="1" applyFill="1" applyBorder="1" applyAlignment="1">
      <alignment horizontal="center" vertical="center" wrapText="1"/>
    </xf>
    <xf numFmtId="0" fontId="2" fillId="2" borderId="2" xfId="0" applyFont="1" applyFill="1" applyBorder="1" applyAlignment="1">
      <alignment horizontal="center" vertical="center" wrapText="1"/>
    </xf>
    <xf numFmtId="0" fontId="2" fillId="2" borderId="0" xfId="0" applyFont="1" applyFill="1" applyAlignment="1">
      <alignment horizontal="center" vertical="center" wrapText="1"/>
    </xf>
    <xf numFmtId="0" fontId="2" fillId="2" borderId="3" xfId="0" applyFont="1" applyFill="1" applyBorder="1" applyAlignment="1">
      <alignment horizontal="center" vertical="center" wrapText="1"/>
    </xf>
    <xf numFmtId="0" fontId="10" fillId="2" borderId="12" xfId="0" applyFont="1" applyFill="1" applyBorder="1" applyAlignment="1">
      <alignment horizontal="center" vertical="center" wrapText="1"/>
    </xf>
    <xf numFmtId="0" fontId="10" fillId="2" borderId="14" xfId="0" applyFont="1" applyFill="1" applyBorder="1" applyAlignment="1">
      <alignment horizontal="center" vertical="center" wrapText="1"/>
    </xf>
    <xf numFmtId="0" fontId="10" fillId="2" borderId="2" xfId="0" applyFont="1" applyFill="1" applyBorder="1" applyAlignment="1">
      <alignment horizontal="center" vertical="center" wrapText="1"/>
    </xf>
    <xf numFmtId="0" fontId="10" fillId="2" borderId="3" xfId="0" applyFont="1" applyFill="1" applyBorder="1" applyAlignment="1">
      <alignment horizontal="center" vertical="center" wrapText="1"/>
    </xf>
    <xf numFmtId="0" fontId="10" fillId="2" borderId="4" xfId="0" applyFont="1" applyFill="1" applyBorder="1" applyAlignment="1">
      <alignment horizontal="center" vertical="center" wrapText="1"/>
    </xf>
    <xf numFmtId="0" fontId="10" fillId="2" borderId="5" xfId="0" applyFont="1" applyFill="1" applyBorder="1" applyAlignment="1">
      <alignment horizontal="center" vertical="center" wrapText="1"/>
    </xf>
    <xf numFmtId="0" fontId="0" fillId="0" borderId="12" xfId="0" applyBorder="1" applyAlignment="1">
      <alignment horizontal="left" vertical="top" wrapText="1"/>
    </xf>
    <xf numFmtId="0" fontId="0" fillId="0" borderId="14" xfId="0" applyBorder="1" applyAlignment="1">
      <alignment horizontal="left" vertical="top" wrapText="1"/>
    </xf>
    <xf numFmtId="0" fontId="0" fillId="0" borderId="2" xfId="0" applyBorder="1" applyAlignment="1">
      <alignment horizontal="left" vertical="top" wrapText="1"/>
    </xf>
    <xf numFmtId="0" fontId="0" fillId="0" borderId="3" xfId="0" applyBorder="1" applyAlignment="1">
      <alignment horizontal="left" vertical="top" wrapText="1"/>
    </xf>
    <xf numFmtId="0" fontId="0" fillId="0" borderId="4" xfId="0" applyBorder="1" applyAlignment="1">
      <alignment horizontal="left" vertical="top" wrapText="1"/>
    </xf>
    <xf numFmtId="0" fontId="0" fillId="0" borderId="9" xfId="0" applyBorder="1" applyAlignment="1">
      <alignment horizontal="left" vertical="top" wrapText="1"/>
    </xf>
    <xf numFmtId="0" fontId="0" fillId="0" borderId="5" xfId="0" applyBorder="1" applyAlignment="1">
      <alignment horizontal="left" vertical="top" wrapText="1"/>
    </xf>
    <xf numFmtId="0" fontId="6" fillId="2" borderId="12" xfId="0" applyFont="1" applyFill="1" applyBorder="1" applyAlignment="1">
      <alignment horizontal="center" vertical="center"/>
    </xf>
    <xf numFmtId="0" fontId="2" fillId="2" borderId="13" xfId="0" applyFont="1" applyFill="1" applyBorder="1" applyAlignment="1">
      <alignment horizontal="center" vertical="center"/>
    </xf>
    <xf numFmtId="0" fontId="2" fillId="2" borderId="14" xfId="0" applyFont="1" applyFill="1" applyBorder="1" applyAlignment="1">
      <alignment horizontal="center" vertical="center"/>
    </xf>
    <xf numFmtId="0" fontId="2" fillId="2" borderId="2" xfId="0" applyFont="1" applyFill="1" applyBorder="1" applyAlignment="1">
      <alignment horizontal="center" vertical="center"/>
    </xf>
    <xf numFmtId="0" fontId="2" fillId="2" borderId="0" xfId="0" applyFont="1" applyFill="1" applyAlignment="1">
      <alignment horizontal="center" vertical="center"/>
    </xf>
    <xf numFmtId="0" fontId="2" fillId="2" borderId="3" xfId="0" applyFont="1" applyFill="1" applyBorder="1" applyAlignment="1">
      <alignment horizontal="center" vertical="center"/>
    </xf>
    <xf numFmtId="0" fontId="2" fillId="2" borderId="4" xfId="0" applyFont="1" applyFill="1" applyBorder="1" applyAlignment="1">
      <alignment horizontal="center" vertical="center"/>
    </xf>
    <xf numFmtId="0" fontId="2" fillId="2" borderId="9" xfId="0" applyFont="1" applyFill="1" applyBorder="1" applyAlignment="1">
      <alignment horizontal="center" vertical="center"/>
    </xf>
    <xf numFmtId="0" fontId="2" fillId="2" borderId="5" xfId="0" applyFont="1" applyFill="1" applyBorder="1" applyAlignment="1">
      <alignment horizontal="center" vertical="center"/>
    </xf>
    <xf numFmtId="0" fontId="7" fillId="2" borderId="12" xfId="0" applyFont="1" applyFill="1" applyBorder="1" applyAlignment="1">
      <alignment horizontal="center" vertical="center"/>
    </xf>
    <xf numFmtId="0" fontId="7" fillId="2" borderId="13" xfId="0" applyFont="1" applyFill="1" applyBorder="1" applyAlignment="1">
      <alignment horizontal="center" vertical="center"/>
    </xf>
    <xf numFmtId="0" fontId="7" fillId="2" borderId="14" xfId="0" applyFont="1" applyFill="1" applyBorder="1" applyAlignment="1">
      <alignment horizontal="center" vertical="center"/>
    </xf>
    <xf numFmtId="0" fontId="7" fillId="2" borderId="4" xfId="0" applyFont="1" applyFill="1" applyBorder="1" applyAlignment="1">
      <alignment horizontal="center" vertical="center"/>
    </xf>
    <xf numFmtId="0" fontId="7" fillId="2" borderId="9" xfId="0" applyFont="1" applyFill="1" applyBorder="1" applyAlignment="1">
      <alignment horizontal="center" vertical="center"/>
    </xf>
    <xf numFmtId="0" fontId="7" fillId="2" borderId="5" xfId="0" applyFont="1" applyFill="1" applyBorder="1" applyAlignment="1">
      <alignment horizontal="center" vertical="center"/>
    </xf>
    <xf numFmtId="0" fontId="5" fillId="2" borderId="12" xfId="0" applyFont="1" applyFill="1" applyBorder="1" applyAlignment="1">
      <alignment horizontal="center" vertical="center" wrapText="1"/>
    </xf>
    <xf numFmtId="0" fontId="5" fillId="2" borderId="13" xfId="0" applyFont="1" applyFill="1" applyBorder="1" applyAlignment="1">
      <alignment horizontal="center" vertical="center" wrapText="1"/>
    </xf>
    <xf numFmtId="0" fontId="5" fillId="2" borderId="14" xfId="0" applyFont="1" applyFill="1" applyBorder="1" applyAlignment="1">
      <alignment horizontal="center" vertical="center" wrapText="1"/>
    </xf>
    <xf numFmtId="0" fontId="5" fillId="2" borderId="2"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3" xfId="0" applyFont="1" applyFill="1" applyBorder="1" applyAlignment="1">
      <alignment horizontal="center" vertical="center" wrapText="1"/>
    </xf>
    <xf numFmtId="0" fontId="5" fillId="2" borderId="4" xfId="0" applyFont="1" applyFill="1" applyBorder="1" applyAlignment="1">
      <alignment horizontal="center" vertical="center" wrapText="1"/>
    </xf>
    <xf numFmtId="0" fontId="5" fillId="2" borderId="9" xfId="0" applyFont="1" applyFill="1" applyBorder="1" applyAlignment="1">
      <alignment horizontal="center" vertical="center" wrapText="1"/>
    </xf>
    <xf numFmtId="0" fontId="5" fillId="2" borderId="5" xfId="0" applyFont="1" applyFill="1" applyBorder="1" applyAlignment="1">
      <alignment horizontal="center" vertical="center" wrapText="1"/>
    </xf>
    <xf numFmtId="0" fontId="8" fillId="2" borderId="6" xfId="0" applyFont="1" applyFill="1" applyBorder="1" applyAlignment="1">
      <alignment horizontal="center" vertical="center"/>
    </xf>
    <xf numFmtId="0" fontId="8" fillId="2" borderId="8" xfId="0" applyFont="1" applyFill="1" applyBorder="1" applyAlignment="1">
      <alignment horizontal="center" vertical="center"/>
    </xf>
    <xf numFmtId="0" fontId="8" fillId="2" borderId="7" xfId="0" applyFont="1" applyFill="1" applyBorder="1" applyAlignment="1">
      <alignment horizontal="center" vertical="center"/>
    </xf>
    <xf numFmtId="0" fontId="0" fillId="0" borderId="2" xfId="0" applyBorder="1" applyAlignment="1">
      <alignment horizontal="left" vertical="center"/>
    </xf>
    <xf numFmtId="0" fontId="0" fillId="0" borderId="0" xfId="0" applyAlignment="1">
      <alignment horizontal="left" vertical="center"/>
    </xf>
    <xf numFmtId="0" fontId="0" fillId="0" borderId="3" xfId="0" applyBorder="1" applyAlignment="1">
      <alignment horizontal="left" vertical="center"/>
    </xf>
    <xf numFmtId="0" fontId="2" fillId="0" borderId="0" xfId="0" applyFont="1" applyAlignment="1">
      <alignment horizontal="left" vertical="center"/>
    </xf>
    <xf numFmtId="0" fontId="9" fillId="2" borderId="12" xfId="0" applyFont="1" applyFill="1" applyBorder="1" applyAlignment="1">
      <alignment horizontal="center" vertical="center"/>
    </xf>
    <xf numFmtId="0" fontId="9" fillId="2" borderId="13" xfId="0" applyFont="1" applyFill="1" applyBorder="1" applyAlignment="1">
      <alignment horizontal="center" vertical="center"/>
    </xf>
    <xf numFmtId="0" fontId="9" fillId="2" borderId="14" xfId="0" applyFont="1" applyFill="1" applyBorder="1" applyAlignment="1">
      <alignment horizontal="center" vertical="center"/>
    </xf>
    <xf numFmtId="0" fontId="9" fillId="2" borderId="4" xfId="0" applyFont="1" applyFill="1" applyBorder="1" applyAlignment="1">
      <alignment horizontal="center" vertical="center"/>
    </xf>
    <xf numFmtId="0" fontId="9" fillId="2" borderId="9" xfId="0" applyFont="1" applyFill="1" applyBorder="1" applyAlignment="1">
      <alignment horizontal="center" vertical="center"/>
    </xf>
    <xf numFmtId="0" fontId="9" fillId="2" borderId="5" xfId="0" applyFont="1" applyFill="1" applyBorder="1" applyAlignment="1">
      <alignment horizontal="center" vertical="center"/>
    </xf>
    <xf numFmtId="0" fontId="0" fillId="0" borderId="2" xfId="0" applyBorder="1" applyAlignment="1">
      <alignment horizontal="left" vertical="center" wrapText="1"/>
    </xf>
    <xf numFmtId="0" fontId="0" fillId="0" borderId="0" xfId="0" applyAlignment="1">
      <alignment horizontal="left" vertical="center" wrapText="1"/>
    </xf>
    <xf numFmtId="0" fontId="0" fillId="0" borderId="3" xfId="0" applyBorder="1" applyAlignment="1">
      <alignment horizontal="left" vertical="center" wrapText="1"/>
    </xf>
    <xf numFmtId="0" fontId="2" fillId="0" borderId="0" xfId="0" applyFont="1" applyAlignment="1">
      <alignment horizontal="center" vertical="center"/>
    </xf>
    <xf numFmtId="0" fontId="2" fillId="0" borderId="3" xfId="0" applyFont="1" applyBorder="1" applyAlignment="1">
      <alignment horizontal="center" vertical="center"/>
    </xf>
    <xf numFmtId="0" fontId="2" fillId="0" borderId="0" xfId="0" applyFont="1" applyAlignment="1">
      <alignment horizontal="right" vertical="center"/>
    </xf>
    <xf numFmtId="0" fontId="2" fillId="0" borderId="3" xfId="0" applyFont="1" applyBorder="1" applyAlignment="1">
      <alignment horizontal="right" vertical="center"/>
    </xf>
    <xf numFmtId="0" fontId="2" fillId="0" borderId="9" xfId="0" applyFont="1" applyBorder="1" applyAlignment="1">
      <alignment horizontal="center"/>
    </xf>
    <xf numFmtId="0" fontId="2" fillId="0" borderId="5" xfId="0" applyFont="1" applyBorder="1" applyAlignment="1">
      <alignment horizontal="center"/>
    </xf>
  </cellXfs>
  <cellStyles count="3">
    <cellStyle name="Normal" xfId="0" builtinId="0"/>
    <cellStyle name="Normal 2" xfId="2" xr:uid="{182A11C3-F052-41BB-BEB3-9B8953189EAA}"/>
    <cellStyle name="Percent" xfId="1" builtinId="5"/>
  </cellStyles>
  <dxfs count="4">
    <dxf>
      <numFmt numFmtId="2" formatCode="0.00"/>
    </dxf>
    <dxf>
      <numFmt numFmtId="2" formatCode="0.00"/>
    </dxf>
    <dxf>
      <fill>
        <patternFill patternType="solid">
          <bgColor rgb="FFFFFF00"/>
        </patternFill>
      </fill>
    </dxf>
    <dxf>
      <fill>
        <patternFill patternType="solid">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onnections" Target="connection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2.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1.xml"/><Relationship Id="rId22"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4.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5.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Ex1.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Ex2.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[CPI Project.xlsx]Ques 1!PivotTable2</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t>Contribution of Broader Categories to Overall CPI (%)</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a:glow rad="1892300">
                <a:schemeClr val="accent1">
                  <a:alpha val="40000"/>
                </a:schemeClr>
              </a:glow>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2.4916943521594685E-2"/>
              <c:y val="-9.4240837696335081E-2"/>
            </c:manualLayout>
          </c:layout>
          <c:spPr>
            <a:noFill/>
            <a:ln>
              <a:noFill/>
            </a:ln>
            <a:effectLst>
              <a:glow rad="1892300">
                <a:schemeClr val="accent1">
                  <a:alpha val="40000"/>
                </a:schemeClr>
              </a:glow>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dLbl>
          <c:idx val="0"/>
          <c:layout>
            <c:manualLayout>
              <c:x val="3.0454042081949059E-2"/>
              <c:y val="-8.3769633507853408E-2"/>
            </c:manualLayout>
          </c:layout>
          <c:spPr>
            <a:noFill/>
            <a:ln>
              <a:noFill/>
            </a:ln>
            <a:effectLst>
              <a:glow rad="1892300">
                <a:schemeClr val="accent1">
                  <a:alpha val="40000"/>
                </a:schemeClr>
              </a:glow>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dLbl>
          <c:idx val="0"/>
          <c:layout>
            <c:manualLayout>
              <c:x val="8.58250276854928E-2"/>
              <c:y val="-5.5846422338568937E-2"/>
            </c:manualLayout>
          </c:layout>
          <c:spPr>
            <a:noFill/>
            <a:ln>
              <a:noFill/>
            </a:ln>
            <a:effectLst>
              <a:glow rad="1892300">
                <a:schemeClr val="accent1">
                  <a:alpha val="40000"/>
                </a:schemeClr>
              </a:glow>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dLbl>
          <c:idx val="0"/>
          <c:layout>
            <c:manualLayout>
              <c:x val="9.9063104124971282E-2"/>
              <c:y val="4.8201705598813496E-2"/>
            </c:manualLayout>
          </c:layout>
          <c:spPr>
            <a:noFill/>
            <a:ln>
              <a:noFill/>
            </a:ln>
            <a:effectLst>
              <a:glow rad="1892300">
                <a:schemeClr val="accent1">
                  <a:alpha val="40000"/>
                </a:schemeClr>
              </a:glow>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dLbl>
          <c:idx val="0"/>
          <c:layout>
            <c:manualLayout>
              <c:x val="-7.7519379844961239E-2"/>
              <c:y val="6.6317626527050477E-2"/>
            </c:manualLayout>
          </c:layout>
          <c:spPr>
            <a:noFill/>
            <a:ln>
              <a:noFill/>
            </a:ln>
            <a:effectLst>
              <a:glow rad="1892300">
                <a:schemeClr val="accent1">
                  <a:alpha val="40000"/>
                </a:schemeClr>
              </a:glow>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dLbl>
          <c:idx val="0"/>
          <c:layout>
            <c:manualLayout>
              <c:x val="-8.58250276854928E-2"/>
              <c:y val="1.3961605584642234E-2"/>
            </c:manualLayout>
          </c:layout>
          <c:spPr>
            <a:noFill/>
            <a:ln>
              <a:noFill/>
            </a:ln>
            <a:effectLst>
              <a:glow rad="1892300">
                <a:schemeClr val="accent1">
                  <a:alpha val="40000"/>
                </a:schemeClr>
              </a:glow>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layout>
            <c:manualLayout>
              <c:x val="-7.5798529569768694E-2"/>
              <c:y val="-7.8620456091487573E-3"/>
            </c:manualLayout>
          </c:layout>
          <c:spPr>
            <a:noFill/>
            <a:ln>
              <a:noFill/>
            </a:ln>
            <a:effectLst>
              <a:glow rad="1892300">
                <a:schemeClr val="accent1">
                  <a:alpha val="40000"/>
                </a:schemeClr>
              </a:glow>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dLbl>
          <c:idx val="0"/>
          <c:layout>
            <c:manualLayout>
              <c:x val="-0.1079734219269103"/>
              <c:y val="-5.5846422338568937E-2"/>
            </c:manualLayout>
          </c:layout>
          <c:spPr>
            <a:noFill/>
            <a:ln>
              <a:noFill/>
            </a:ln>
            <a:effectLst>
              <a:glow rad="1892300">
                <a:schemeClr val="accent1">
                  <a:alpha val="40000"/>
                </a:schemeClr>
              </a:glow>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dLbl>
          <c:idx val="0"/>
          <c:layout>
            <c:manualLayout>
              <c:x val="-8.3056478405315631E-2"/>
              <c:y val="-7.3298429319371722E-2"/>
            </c:manualLayout>
          </c:layout>
          <c:spPr>
            <a:noFill/>
            <a:ln>
              <a:noFill/>
            </a:ln>
            <a:effectLst>
              <a:glow rad="1892300">
                <a:schemeClr val="accent1">
                  <a:alpha val="40000"/>
                </a:schemeClr>
              </a:glow>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dLbl>
          <c:idx val="0"/>
          <c:layout>
            <c:manualLayout>
              <c:x val="-5.8139648128399536E-2"/>
              <c:y val="-7.5266773522052827E-2"/>
            </c:manualLayout>
          </c:layout>
          <c:spPr>
            <a:noFill/>
            <a:ln>
              <a:noFill/>
            </a:ln>
            <a:effectLst>
              <a:glow rad="1892300">
                <a:schemeClr val="accent1">
                  <a:alpha val="40000"/>
                </a:schemeClr>
              </a:glow>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dLbl>
          <c:idx val="0"/>
          <c:layout>
            <c:manualLayout>
              <c:x val="4.0628849965182925E-3"/>
              <c:y val="-9.7948726931936625E-2"/>
            </c:manualLayout>
          </c:layout>
          <c:spPr>
            <a:noFill/>
            <a:ln>
              <a:noFill/>
            </a:ln>
            <a:effectLst>
              <a:glow rad="1892300">
                <a:schemeClr val="accent1">
                  <a:alpha val="40000"/>
                </a:schemeClr>
              </a:glow>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'Ques 1'!$E$8</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28D-4DC5-95D1-747097F3892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28D-4DC5-95D1-747097F3892B}"/>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C28D-4DC5-95D1-747097F3892B}"/>
              </c:ext>
            </c:extLst>
          </c:dPt>
          <c:dPt>
            <c:idx val="3"/>
            <c:bubble3D val="0"/>
            <c:explosion val="12"/>
            <c:spPr>
              <a:solidFill>
                <a:schemeClr val="accent4"/>
              </a:solidFill>
              <a:ln w="19050">
                <a:solidFill>
                  <a:schemeClr val="lt1"/>
                </a:solidFill>
              </a:ln>
              <a:effectLst/>
            </c:spPr>
            <c:extLst>
              <c:ext xmlns:c16="http://schemas.microsoft.com/office/drawing/2014/chart" uri="{C3380CC4-5D6E-409C-BE32-E72D297353CC}">
                <c16:uniqueId val="{00000007-C28D-4DC5-95D1-747097F3892B}"/>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C28D-4DC5-95D1-747097F3892B}"/>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C28D-4DC5-95D1-747097F3892B}"/>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C28D-4DC5-95D1-747097F3892B}"/>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C28D-4DC5-95D1-747097F3892B}"/>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C28D-4DC5-95D1-747097F3892B}"/>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C28D-4DC5-95D1-747097F3892B}"/>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15-C28D-4DC5-95D1-747097F3892B}"/>
              </c:ext>
            </c:extLst>
          </c:dPt>
          <c:dLbls>
            <c:dLbl>
              <c:idx val="0"/>
              <c:layout>
                <c:manualLayout>
                  <c:x val="2.4916943521594685E-2"/>
                  <c:y val="-9.424083769633508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C28D-4DC5-95D1-747097F3892B}"/>
                </c:ext>
              </c:extLst>
            </c:dLbl>
            <c:dLbl>
              <c:idx val="1"/>
              <c:layout>
                <c:manualLayout>
                  <c:x val="3.0454042081949059E-2"/>
                  <c:y val="-8.376963350785340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C28D-4DC5-95D1-747097F3892B}"/>
                </c:ext>
              </c:extLst>
            </c:dLbl>
            <c:dLbl>
              <c:idx val="2"/>
              <c:layout>
                <c:manualLayout>
                  <c:x val="8.58250276854928E-2"/>
                  <c:y val="-5.584642233856893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C28D-4DC5-95D1-747097F3892B}"/>
                </c:ext>
              </c:extLst>
            </c:dLbl>
            <c:dLbl>
              <c:idx val="3"/>
              <c:layout>
                <c:manualLayout>
                  <c:x val="9.9063104124971282E-2"/>
                  <c:y val="4.820170559881349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C28D-4DC5-95D1-747097F3892B}"/>
                </c:ext>
              </c:extLst>
            </c:dLbl>
            <c:dLbl>
              <c:idx val="4"/>
              <c:layout>
                <c:manualLayout>
                  <c:x val="-7.7519379844961239E-2"/>
                  <c:y val="6.631762652705047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C28D-4DC5-95D1-747097F3892B}"/>
                </c:ext>
              </c:extLst>
            </c:dLbl>
            <c:dLbl>
              <c:idx val="5"/>
              <c:layout>
                <c:manualLayout>
                  <c:x val="-8.58250276854928E-2"/>
                  <c:y val="1.396160558464223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C28D-4DC5-95D1-747097F3892B}"/>
                </c:ext>
              </c:extLst>
            </c:dLbl>
            <c:dLbl>
              <c:idx val="6"/>
              <c:layout>
                <c:manualLayout>
                  <c:x val="-7.5798529569768694E-2"/>
                  <c:y val="-7.8620456091487573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C28D-4DC5-95D1-747097F3892B}"/>
                </c:ext>
              </c:extLst>
            </c:dLbl>
            <c:dLbl>
              <c:idx val="7"/>
              <c:layout>
                <c:manualLayout>
                  <c:x val="-0.1079734219269103"/>
                  <c:y val="-5.584642233856893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C28D-4DC5-95D1-747097F3892B}"/>
                </c:ext>
              </c:extLst>
            </c:dLbl>
            <c:dLbl>
              <c:idx val="8"/>
              <c:layout>
                <c:manualLayout>
                  <c:x val="-8.3056478405315631E-2"/>
                  <c:y val="-7.329842931937172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C28D-4DC5-95D1-747097F3892B}"/>
                </c:ext>
              </c:extLst>
            </c:dLbl>
            <c:dLbl>
              <c:idx val="9"/>
              <c:layout>
                <c:manualLayout>
                  <c:x val="-5.8139648128399536E-2"/>
                  <c:y val="-7.526677352205282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3-C28D-4DC5-95D1-747097F3892B}"/>
                </c:ext>
              </c:extLst>
            </c:dLbl>
            <c:dLbl>
              <c:idx val="10"/>
              <c:layout>
                <c:manualLayout>
                  <c:x val="4.0628849965182925E-3"/>
                  <c:y val="-9.794872693193662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5-C28D-4DC5-95D1-747097F3892B}"/>
                </c:ext>
              </c:extLst>
            </c:dLbl>
            <c:spPr>
              <a:noFill/>
              <a:ln>
                <a:noFill/>
              </a:ln>
              <a:effectLst>
                <a:glow rad="1892300">
                  <a:schemeClr val="accent1">
                    <a:alpha val="40000"/>
                  </a:schemeClr>
                </a:glow>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'Ques 1'!$D$9:$D$20</c:f>
              <c:strCache>
                <c:ptCount val="11"/>
                <c:pt idx="0">
                  <c:v>clothing</c:v>
                </c:pt>
                <c:pt idx="1">
                  <c:v>education</c:v>
                </c:pt>
                <c:pt idx="2">
                  <c:v>energy</c:v>
                </c:pt>
                <c:pt idx="3">
                  <c:v>food</c:v>
                </c:pt>
                <c:pt idx="4">
                  <c:v>healthcare</c:v>
                </c:pt>
                <c:pt idx="5">
                  <c:v>household </c:v>
                </c:pt>
                <c:pt idx="6">
                  <c:v>housing</c:v>
                </c:pt>
                <c:pt idx="7">
                  <c:v>personal care</c:v>
                </c:pt>
                <c:pt idx="8">
                  <c:v>recreation</c:v>
                </c:pt>
                <c:pt idx="9">
                  <c:v>tabacco &amp; intoxicants</c:v>
                </c:pt>
                <c:pt idx="10">
                  <c:v>transport</c:v>
                </c:pt>
              </c:strCache>
            </c:strRef>
          </c:cat>
          <c:val>
            <c:numRef>
              <c:f>'Ques 1'!$E$9:$E$20</c:f>
              <c:numCache>
                <c:formatCode>0.00%</c:formatCode>
                <c:ptCount val="11"/>
                <c:pt idx="0">
                  <c:v>8.9220596100549429E-2</c:v>
                </c:pt>
                <c:pt idx="1">
                  <c:v>4.305440754606895E-2</c:v>
                </c:pt>
                <c:pt idx="2">
                  <c:v>4.4440122526377211E-2</c:v>
                </c:pt>
                <c:pt idx="3">
                  <c:v>0.51728497107016103</c:v>
                </c:pt>
                <c:pt idx="4">
                  <c:v>4.5145135411095445E-2</c:v>
                </c:pt>
                <c:pt idx="5">
                  <c:v>4.259250255263286E-2</c:v>
                </c:pt>
                <c:pt idx="6">
                  <c:v>4.2689745709145722E-2</c:v>
                </c:pt>
                <c:pt idx="7">
                  <c:v>4.502358146545437E-2</c:v>
                </c:pt>
                <c:pt idx="8">
                  <c:v>4.1620070987504254E-2</c:v>
                </c:pt>
                <c:pt idx="9">
                  <c:v>4.8864686147712361E-2</c:v>
                </c:pt>
                <c:pt idx="10">
                  <c:v>4.0064180483298496E-2</c:v>
                </c:pt>
              </c:numCache>
            </c:numRef>
          </c:val>
          <c:extLst>
            <c:ext xmlns:c16="http://schemas.microsoft.com/office/drawing/2014/chart" uri="{C3380CC4-5D6E-409C-BE32-E72D297353CC}">
              <c16:uniqueId val="{00000000-66E3-4378-A8C9-570DFA15419C}"/>
            </c:ext>
          </c:extLst>
        </c:ser>
        <c:dLbls>
          <c:showLegendKey val="0"/>
          <c:showVal val="1"/>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Year-over-Year Inflation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0687098127603938"/>
          <c:y val="0.14659890360146927"/>
          <c:w val="0.84275239293973014"/>
          <c:h val="0.6816197600768068"/>
        </c:manualLayout>
      </c:layout>
      <c:scatterChart>
        <c:scatterStyle val="lineMarker"/>
        <c:varyColors val="0"/>
        <c:ser>
          <c:idx val="0"/>
          <c:order val="0"/>
          <c:tx>
            <c:strRef>
              <c:f>'Ques 2'!$B$14</c:f>
              <c:strCache>
                <c:ptCount val="1"/>
                <c:pt idx="0">
                  <c:v>YOY %</c:v>
                </c:pt>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xVal>
            <c:numRef>
              <c:f>'Ques 2'!$A$15:$A$21</c:f>
              <c:numCache>
                <c:formatCode>General</c:formatCode>
                <c:ptCount val="7"/>
                <c:pt idx="0">
                  <c:v>2017</c:v>
                </c:pt>
                <c:pt idx="1">
                  <c:v>2018</c:v>
                </c:pt>
                <c:pt idx="2">
                  <c:v>2019</c:v>
                </c:pt>
                <c:pt idx="3">
                  <c:v>2020</c:v>
                </c:pt>
                <c:pt idx="4">
                  <c:v>2021</c:v>
                </c:pt>
                <c:pt idx="5">
                  <c:v>2022</c:v>
                </c:pt>
                <c:pt idx="6">
                  <c:v>2023</c:v>
                </c:pt>
              </c:numCache>
            </c:numRef>
          </c:xVal>
          <c:yVal>
            <c:numRef>
              <c:f>'Ques 2'!$B$15:$B$21</c:f>
              <c:numCache>
                <c:formatCode>0.00%</c:formatCode>
                <c:ptCount val="7"/>
                <c:pt idx="1">
                  <c:v>3.9513108614232254E-2</c:v>
                </c:pt>
                <c:pt idx="2">
                  <c:v>3.8961038961038953E-2</c:v>
                </c:pt>
                <c:pt idx="3">
                  <c:v>6.3795712484237196E-2</c:v>
                </c:pt>
                <c:pt idx="4">
                  <c:v>5.2668752988220872E-2</c:v>
                </c:pt>
                <c:pt idx="5">
                  <c:v>6.6219354838709471E-2</c:v>
                </c:pt>
                <c:pt idx="6">
                  <c:v>3.1774615161196791E-2</c:v>
                </c:pt>
              </c:numCache>
            </c:numRef>
          </c:yVal>
          <c:smooth val="0"/>
          <c:extLst>
            <c:ext xmlns:c16="http://schemas.microsoft.com/office/drawing/2014/chart" uri="{C3380CC4-5D6E-409C-BE32-E72D297353CC}">
              <c16:uniqueId val="{00000000-6682-4EB8-9647-1BD92AE4C628}"/>
            </c:ext>
          </c:extLst>
        </c:ser>
        <c:dLbls>
          <c:dLblPos val="t"/>
          <c:showLegendKey val="0"/>
          <c:showVal val="1"/>
          <c:showCatName val="0"/>
          <c:showSerName val="0"/>
          <c:showPercent val="0"/>
          <c:showBubbleSize val="0"/>
        </c:dLbls>
        <c:axId val="1971869648"/>
        <c:axId val="1971866288"/>
      </c:scatterChart>
      <c:valAx>
        <c:axId val="1971869648"/>
        <c:scaling>
          <c:orientation val="minMax"/>
          <c:min val="2017"/>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Year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1866288"/>
        <c:crosses val="autoZero"/>
        <c:crossBetween val="midCat"/>
      </c:valAx>
      <c:valAx>
        <c:axId val="1971866288"/>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Inflation (%)</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1869648"/>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t>Pre-COVID vs Post-COVID Inflation Comparison</a:t>
            </a:r>
            <a:endParaRPr lang="en-IN"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barChart>
        <c:barDir val="col"/>
        <c:grouping val="clustered"/>
        <c:varyColors val="0"/>
        <c:ser>
          <c:idx val="0"/>
          <c:order val="0"/>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'Ques 4'!$O$8:$O$13</c:f>
              <c:strCache>
                <c:ptCount val="6"/>
                <c:pt idx="0">
                  <c:v>General CPI</c:v>
                </c:pt>
                <c:pt idx="1">
                  <c:v>Fuel and Light</c:v>
                </c:pt>
                <c:pt idx="2">
                  <c:v>Food and Beverages</c:v>
                </c:pt>
                <c:pt idx="3">
                  <c:v>Household goods and Services</c:v>
                </c:pt>
                <c:pt idx="4">
                  <c:v>Transport and Communication</c:v>
                </c:pt>
                <c:pt idx="5">
                  <c:v>Health</c:v>
                </c:pt>
              </c:strCache>
            </c:strRef>
          </c:cat>
          <c:val>
            <c:numRef>
              <c:f>'Ques 4'!$P$8:$P$13</c:f>
              <c:numCache>
                <c:formatCode>0.00%</c:formatCode>
                <c:ptCount val="6"/>
                <c:pt idx="0">
                  <c:v>3.6454824407438492E-3</c:v>
                </c:pt>
                <c:pt idx="1">
                  <c:v>4.1310196120130007E-3</c:v>
                </c:pt>
                <c:pt idx="2">
                  <c:v>3.2739577805695774E-3</c:v>
                </c:pt>
                <c:pt idx="3">
                  <c:v>3.3834310777559667E-3</c:v>
                </c:pt>
                <c:pt idx="4">
                  <c:v>2.8705920678062271E-3</c:v>
                </c:pt>
                <c:pt idx="5">
                  <c:v>5.03559390087831E-3</c:v>
                </c:pt>
              </c:numCache>
            </c:numRef>
          </c:val>
          <c:extLst>
            <c:ext xmlns:c16="http://schemas.microsoft.com/office/drawing/2014/chart" uri="{C3380CC4-5D6E-409C-BE32-E72D297353CC}">
              <c16:uniqueId val="{00000000-92A4-42C8-ABCA-3450FE0978C1}"/>
            </c:ext>
          </c:extLst>
        </c:ser>
        <c:ser>
          <c:idx val="1"/>
          <c:order val="1"/>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'Ques 4'!$O$8:$O$13</c:f>
              <c:strCache>
                <c:ptCount val="6"/>
                <c:pt idx="0">
                  <c:v>General CPI</c:v>
                </c:pt>
                <c:pt idx="1">
                  <c:v>Fuel and Light</c:v>
                </c:pt>
                <c:pt idx="2">
                  <c:v>Food and Beverages</c:v>
                </c:pt>
                <c:pt idx="3">
                  <c:v>Household goods and Services</c:v>
                </c:pt>
                <c:pt idx="4">
                  <c:v>Transport and Communication</c:v>
                </c:pt>
                <c:pt idx="5">
                  <c:v>Health</c:v>
                </c:pt>
              </c:strCache>
            </c:strRef>
          </c:cat>
          <c:val>
            <c:numRef>
              <c:f>'Ques 4'!$Q$8:$Q$13</c:f>
              <c:numCache>
                <c:formatCode>0.00%</c:formatCode>
                <c:ptCount val="6"/>
                <c:pt idx="0">
                  <c:v>5.0708618429336563E-3</c:v>
                </c:pt>
                <c:pt idx="1">
                  <c:v>5.7006994624311368E-3</c:v>
                </c:pt>
                <c:pt idx="2">
                  <c:v>4.9459848351451445E-3</c:v>
                </c:pt>
                <c:pt idx="3">
                  <c:v>4.9801830770657488E-3</c:v>
                </c:pt>
                <c:pt idx="4">
                  <c:v>6.6132112753705119E-3</c:v>
                </c:pt>
                <c:pt idx="5">
                  <c:v>5.6002593957900498E-3</c:v>
                </c:pt>
              </c:numCache>
            </c:numRef>
          </c:val>
          <c:extLst>
            <c:ext xmlns:c16="http://schemas.microsoft.com/office/drawing/2014/chart" uri="{C3380CC4-5D6E-409C-BE32-E72D297353CC}">
              <c16:uniqueId val="{00000001-92A4-42C8-ABCA-3450FE0978C1}"/>
            </c:ext>
          </c:extLst>
        </c:ser>
        <c:dLbls>
          <c:dLblPos val="outEnd"/>
          <c:showLegendKey val="0"/>
          <c:showVal val="1"/>
          <c:showCatName val="0"/>
          <c:showSerName val="0"/>
          <c:showPercent val="0"/>
          <c:showBubbleSize val="0"/>
        </c:dLbls>
        <c:gapWidth val="219"/>
        <c:overlap val="-27"/>
        <c:axId val="84729407"/>
        <c:axId val="84729887"/>
      </c:barChart>
      <c:catAx>
        <c:axId val="8472940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729887"/>
        <c:crosses val="autoZero"/>
        <c:auto val="1"/>
        <c:lblAlgn val="ctr"/>
        <c:lblOffset val="100"/>
        <c:noMultiLvlLbl val="0"/>
      </c:catAx>
      <c:valAx>
        <c:axId val="84729887"/>
        <c:scaling>
          <c:orientation val="minMax"/>
        </c:scaling>
        <c:delete val="0"/>
        <c:axPos val="l"/>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729407"/>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3.8506678431782355E-2"/>
          <c:y val="0.11527809218713483"/>
          <c:w val="0.9217481411895353"/>
          <c:h val="0.81262020804450164"/>
        </c:manualLayout>
      </c:layout>
      <c:barChart>
        <c:barDir val="bar"/>
        <c:grouping val="clustered"/>
        <c:varyColors val="0"/>
        <c:ser>
          <c:idx val="0"/>
          <c:order val="0"/>
          <c:tx>
            <c:strRef>
              <c:f>'Ques 5 Category'!$T$9</c:f>
              <c:strCache>
                <c:ptCount val="1"/>
                <c:pt idx="0">
                  <c:v>Correlation with Crude Oil MoM %</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'Ques 5 Category'!$S$10:$S$15</c:f>
              <c:strCache>
                <c:ptCount val="6"/>
                <c:pt idx="0">
                  <c:v>Food and Beverages</c:v>
                </c:pt>
                <c:pt idx="1">
                  <c:v>Fuel and Light</c:v>
                </c:pt>
                <c:pt idx="2">
                  <c:v>Recreation and amusement</c:v>
                </c:pt>
                <c:pt idx="3">
                  <c:v>Health</c:v>
                </c:pt>
                <c:pt idx="4">
                  <c:v>Transport and communication</c:v>
                </c:pt>
                <c:pt idx="5">
                  <c:v>Education</c:v>
                </c:pt>
              </c:strCache>
            </c:strRef>
          </c:cat>
          <c:val>
            <c:numRef>
              <c:f>'Ques 5 Category'!$T$10:$T$15</c:f>
              <c:numCache>
                <c:formatCode>0.00</c:formatCode>
                <c:ptCount val="6"/>
                <c:pt idx="0">
                  <c:v>4.8366331321187707E-2</c:v>
                </c:pt>
                <c:pt idx="1">
                  <c:v>0.12569723411361958</c:v>
                </c:pt>
                <c:pt idx="2">
                  <c:v>0.12188551861572479</c:v>
                </c:pt>
                <c:pt idx="3">
                  <c:v>7.1230618080455207E-2</c:v>
                </c:pt>
                <c:pt idx="4">
                  <c:v>7.6469917089224709E-2</c:v>
                </c:pt>
                <c:pt idx="5">
                  <c:v>-0.11151409696861531</c:v>
                </c:pt>
              </c:numCache>
            </c:numRef>
          </c:val>
          <c:extLst>
            <c:ext xmlns:c16="http://schemas.microsoft.com/office/drawing/2014/chart" uri="{C3380CC4-5D6E-409C-BE32-E72D297353CC}">
              <c16:uniqueId val="{00000000-3CF7-4584-B999-55D477C0C57B}"/>
            </c:ext>
          </c:extLst>
        </c:ser>
        <c:dLbls>
          <c:dLblPos val="outEnd"/>
          <c:showLegendKey val="0"/>
          <c:showVal val="1"/>
          <c:showCatName val="0"/>
          <c:showSerName val="0"/>
          <c:showPercent val="0"/>
          <c:showBubbleSize val="0"/>
        </c:dLbls>
        <c:gapWidth val="182"/>
        <c:axId val="478205216"/>
        <c:axId val="444238128"/>
      </c:barChart>
      <c:catAx>
        <c:axId val="478205216"/>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4238128"/>
        <c:crosses val="autoZero"/>
        <c:auto val="1"/>
        <c:lblAlgn val="ctr"/>
        <c:lblOffset val="100"/>
        <c:noMultiLvlLbl val="0"/>
      </c:catAx>
      <c:valAx>
        <c:axId val="444238128"/>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820521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'Ques 5 Subategory'!$BI$8</c:f>
              <c:strCache>
                <c:ptCount val="1"/>
                <c:pt idx="0">
                  <c:v>Correlation with Crude Oil MoM %</c:v>
                </c:pt>
              </c:strCache>
            </c:strRef>
          </c:tx>
          <c:spPr>
            <a:solidFill>
              <a:schemeClr val="accent1"/>
            </a:solidFill>
            <a:ln>
              <a:noFill/>
            </a:ln>
            <a:effectLst/>
          </c:spPr>
          <c:invertIfNegative val="0"/>
          <c:dLbls>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B91A-4E7F-BD16-CA92DF3CEE6E}"/>
                </c:ext>
              </c:extLst>
            </c:dLbl>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'Ques 5 Subategory'!$BH$9:$BH$35</c:f>
              <c:strCache>
                <c:ptCount val="27"/>
                <c:pt idx="0">
                  <c:v>Meat and ish</c:v>
                </c:pt>
                <c:pt idx="1">
                  <c:v>Oils and fats </c:v>
                </c:pt>
                <c:pt idx="2">
                  <c:v>Vegetables</c:v>
                </c:pt>
                <c:pt idx="3">
                  <c:v>Non-alcoholic beverages</c:v>
                </c:pt>
                <c:pt idx="4">
                  <c:v>Footwear </c:v>
                </c:pt>
                <c:pt idx="5">
                  <c:v>Pan, tobacco and intoxicants </c:v>
                </c:pt>
                <c:pt idx="6">
                  <c:v>Clothing and footwear</c:v>
                </c:pt>
                <c:pt idx="7">
                  <c:v>Housing </c:v>
                </c:pt>
                <c:pt idx="8">
                  <c:v>Fuel and light </c:v>
                </c:pt>
                <c:pt idx="9">
                  <c:v> Recreation and amusement</c:v>
                </c:pt>
                <c:pt idx="10">
                  <c:v>Clothing</c:v>
                </c:pt>
                <c:pt idx="11">
                  <c:v>Prepared meals, snacks, sweets etc.</c:v>
                </c:pt>
                <c:pt idx="12">
                  <c:v>General index </c:v>
                </c:pt>
                <c:pt idx="13">
                  <c:v>Transport and communication</c:v>
                </c:pt>
                <c:pt idx="14">
                  <c:v>Health </c:v>
                </c:pt>
                <c:pt idx="15">
                  <c:v>Miscellaneous </c:v>
                </c:pt>
                <c:pt idx="16">
                  <c:v> Personal care and effects</c:v>
                </c:pt>
                <c:pt idx="17">
                  <c:v>Fruits </c:v>
                </c:pt>
                <c:pt idx="18">
                  <c:v>Food and beverages</c:v>
                </c:pt>
                <c:pt idx="19">
                  <c:v>Household goods and services </c:v>
                </c:pt>
                <c:pt idx="20">
                  <c:v>Education </c:v>
                </c:pt>
                <c:pt idx="21">
                  <c:v>Spices </c:v>
                </c:pt>
                <c:pt idx="22">
                  <c:v>Egg </c:v>
                </c:pt>
                <c:pt idx="23">
                  <c:v>Sugar and Confectionery </c:v>
                </c:pt>
                <c:pt idx="24">
                  <c:v>Pulses and products</c:v>
                </c:pt>
                <c:pt idx="25">
                  <c:v>Milk and products</c:v>
                </c:pt>
                <c:pt idx="26">
                  <c:v>Cereals and products </c:v>
                </c:pt>
              </c:strCache>
            </c:strRef>
          </c:cat>
          <c:val>
            <c:numRef>
              <c:f>'Ques 5 Subategory'!$BI$9:$BI$35</c:f>
              <c:numCache>
                <c:formatCode>0.000</c:formatCode>
                <c:ptCount val="27"/>
                <c:pt idx="0">
                  <c:v>0.39807464953773258</c:v>
                </c:pt>
                <c:pt idx="1">
                  <c:v>0.38447150715087164</c:v>
                </c:pt>
                <c:pt idx="2">
                  <c:v>3.0577620978226642E-2</c:v>
                </c:pt>
                <c:pt idx="3">
                  <c:v>-5.0083597705786832E-2</c:v>
                </c:pt>
                <c:pt idx="4">
                  <c:v>0.16946701480271711</c:v>
                </c:pt>
                <c:pt idx="5">
                  <c:v>6.5935072469893427E-2</c:v>
                </c:pt>
                <c:pt idx="6">
                  <c:v>8.7442912522681993E-2</c:v>
                </c:pt>
                <c:pt idx="7">
                  <c:v>4.0448030467605277E-2</c:v>
                </c:pt>
                <c:pt idx="8">
                  <c:v>5.4874124472065744E-3</c:v>
                </c:pt>
                <c:pt idx="9">
                  <c:v>3.5143576579952068E-2</c:v>
                </c:pt>
                <c:pt idx="10">
                  <c:v>5.622725881026628E-2</c:v>
                </c:pt>
                <c:pt idx="11">
                  <c:v>-5.5672663228048137E-3</c:v>
                </c:pt>
                <c:pt idx="12">
                  <c:v>0.1812464995477453</c:v>
                </c:pt>
                <c:pt idx="13">
                  <c:v>-3.4427840025981024E-2</c:v>
                </c:pt>
                <c:pt idx="14">
                  <c:v>-1.6695592437166711E-2</c:v>
                </c:pt>
                <c:pt idx="15">
                  <c:v>9.479880910114373E-4</c:v>
                </c:pt>
                <c:pt idx="16">
                  <c:v>6.0593927177713301E-2</c:v>
                </c:pt>
                <c:pt idx="17">
                  <c:v>4.2647802822764209E-2</c:v>
                </c:pt>
                <c:pt idx="18">
                  <c:v>0.25496019634011396</c:v>
                </c:pt>
                <c:pt idx="19">
                  <c:v>-6.6793396481847154E-4</c:v>
                </c:pt>
                <c:pt idx="20">
                  <c:v>-0.11151409696861531</c:v>
                </c:pt>
                <c:pt idx="21">
                  <c:v>-0.17387405597653605</c:v>
                </c:pt>
                <c:pt idx="22">
                  <c:v>-0.18234373711008589</c:v>
                </c:pt>
                <c:pt idx="23">
                  <c:v>-0.20696019510601507</c:v>
                </c:pt>
                <c:pt idx="24">
                  <c:v>-0.24691591589843856</c:v>
                </c:pt>
                <c:pt idx="25">
                  <c:v>-0.27544097939495732</c:v>
                </c:pt>
                <c:pt idx="26">
                  <c:v>-0.28408961542468136</c:v>
                </c:pt>
              </c:numCache>
            </c:numRef>
          </c:val>
          <c:extLst>
            <c:ext xmlns:c16="http://schemas.microsoft.com/office/drawing/2014/chart" uri="{C3380CC4-5D6E-409C-BE32-E72D297353CC}">
              <c16:uniqueId val="{00000000-5E99-4AD2-ACC0-57B126C7FE19}"/>
            </c:ext>
          </c:extLst>
        </c:ser>
        <c:dLbls>
          <c:showLegendKey val="0"/>
          <c:showVal val="0"/>
          <c:showCatName val="0"/>
          <c:showSerName val="0"/>
          <c:showPercent val="0"/>
          <c:showBubbleSize val="0"/>
        </c:dLbls>
        <c:gapWidth val="219"/>
        <c:overlap val="-27"/>
        <c:axId val="2033002943"/>
        <c:axId val="1554142255"/>
      </c:barChart>
      <c:catAx>
        <c:axId val="2033002943"/>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4142255"/>
        <c:crosses val="autoZero"/>
        <c:auto val="1"/>
        <c:lblAlgn val="ctr"/>
        <c:lblOffset val="100"/>
        <c:noMultiLvlLbl val="0"/>
      </c:catAx>
      <c:valAx>
        <c:axId val="1554142255"/>
        <c:scaling>
          <c:orientation val="minMax"/>
        </c:scaling>
        <c:delete val="0"/>
        <c:axPos val="l"/>
        <c:numFmt formatCode="0.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30029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val">
        <cx:f>_xlchart.v1.2</cx:f>
      </cx:numDim>
    </cx:data>
  </cx:chartData>
  <cx:chart>
    <cx:title pos="t" align="ctr" overlay="0">
      <cx:tx>
        <cx:txData>
          <cx:v>Month-over-Month Food Inflation (%)</cx:v>
        </cx:txData>
      </cx:tx>
      <cx:txPr>
        <a:bodyPr spcFirstLastPara="1" vertOverflow="ellipsis" horzOverflow="overflow" wrap="square" lIns="0" tIns="0" rIns="0" bIns="0" anchor="ctr" anchorCtr="1"/>
        <a:lstStyle/>
        <a:p>
          <a:r>
            <a:rPr lang="en-IN" sz="1400" b="1"/>
            <a:t>Month-over-Month Food Inflation (%)</a:t>
          </a:r>
        </a:p>
      </cx:txPr>
    </cx:title>
    <cx:plotArea>
      <cx:plotAreaRegion>
        <cx:series layoutId="waterfall" uniqueId="{3777F2BD-7CCC-4884-862D-AE08D28D678E}">
          <cx:tx>
            <cx:txData>
              <cx:f>_xlchart.v1.1</cx:f>
              <cx:v/>
            </cx:txData>
          </cx:tx>
          <cx:dataLabels>
            <cx:visibility seriesName="0" categoryName="0" value="1"/>
          </cx:dataLabels>
          <cx:dataId val="0"/>
          <cx:layoutPr>
            <cx:subtotals/>
          </cx:layoutPr>
        </cx:series>
      </cx:plotAreaRegion>
      <cx:axis id="0">
        <cx:catScaling gapWidth="0.5"/>
        <cx:tickLabels/>
      </cx:axis>
      <cx:axis id="1">
        <cx:valScaling/>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_xlchart.v1.3</cx:f>
      </cx:strDim>
      <cx:numDim type="val">
        <cx:f>_xlchart.v1.5</cx:f>
      </cx:numDim>
    </cx:data>
  </cx:chartData>
  <cx:chart>
    <cx:title pos="t" align="ctr" overlay="0">
      <cx:tx>
        <cx:rich>
          <a:bodyPr spcFirstLastPara="1" vertOverflow="ellipsis" horzOverflow="overflow" wrap="square" lIns="0" tIns="0" rIns="0" bIns="0" anchor="ctr" anchorCtr="1"/>
          <a:lstStyle/>
          <a:p>
            <a:pPr algn="ctr" rtl="0">
              <a:defRPr/>
            </a:pPr>
            <a:r>
              <a:rPr lang="en-IN" b="1"/>
              <a:t>Absolute Change in Food CPI Index by Subcategory</a:t>
            </a:r>
            <a:r>
              <a:rPr lang="en-US" sz="1400" b="1" i="0" u="none" strike="noStrike" baseline="0">
                <a:solidFill>
                  <a:sysClr val="windowText" lastClr="000000">
                    <a:lumMod val="65000"/>
                    <a:lumOff val="35000"/>
                  </a:sysClr>
                </a:solidFill>
                <a:latin typeface="Calibri" panose="020F0502020204030204"/>
              </a:rPr>
              <a:t> Title</a:t>
            </a:r>
          </a:p>
        </cx:rich>
      </cx:tx>
    </cx:title>
    <cx:plotArea>
      <cx:plotAreaRegion>
        <cx:series layoutId="waterfall" uniqueId="{DB750446-73FA-43FF-A71E-C38010E806BB}">
          <cx:tx>
            <cx:txData>
              <cx:f>_xlchart.v1.4</cx:f>
              <cx:v>Absolute Change</cx:v>
            </cx:txData>
          </cx:tx>
          <cx:dataLabels>
            <cx:visibility seriesName="0" categoryName="0" value="1"/>
          </cx:dataLabels>
          <cx:dataId val="0"/>
          <cx:layoutPr>
            <cx:subtotals/>
          </cx:layoutPr>
        </cx:series>
      </cx:plotAreaRegion>
      <cx:axis id="0">
        <cx:catScaling gapWidth="0.5"/>
        <cx:tickLabels/>
      </cx:axis>
      <cx:axis id="1">
        <cx:valScaling/>
        <cx:tickLabels/>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microsoft.com/office/2014/relationships/chartEx" Target="../charts/chartEx1.xml"/></Relationships>
</file>

<file path=xl/drawings/_rels/drawing4.xml.rels><?xml version="1.0" encoding="UTF-8" standalone="yes"?>
<Relationships xmlns="http://schemas.openxmlformats.org/package/2006/relationships"><Relationship Id="rId1" Type="http://schemas.microsoft.com/office/2014/relationships/chartEx" Target="../charts/chartEx2.xml"/></Relationships>
</file>

<file path=xl/drawings/_rels/drawing5.xml.rels><?xml version="1.0" encoding="UTF-8" standalone="yes"?>
<Relationships xmlns="http://schemas.openxmlformats.org/package/2006/relationships"><Relationship Id="rId1" Type="http://schemas.openxmlformats.org/officeDocument/2006/relationships/chart" Target="../charts/chart3.xml"/></Relationships>
</file>

<file path=xl/drawings/_rels/drawing6.xml.rels><?xml version="1.0" encoding="UTF-8" standalone="yes"?>
<Relationships xmlns="http://schemas.openxmlformats.org/package/2006/relationships"><Relationship Id="rId1" Type="http://schemas.openxmlformats.org/officeDocument/2006/relationships/chart" Target="../charts/chart4.xml"/></Relationships>
</file>

<file path=xl/drawings/_rels/drawing7.xml.rels><?xml version="1.0" encoding="UTF-8" standalone="yes"?>
<Relationships xmlns="http://schemas.openxmlformats.org/package/2006/relationships"><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5</xdr:col>
      <xdr:colOff>342900</xdr:colOff>
      <xdr:row>6</xdr:row>
      <xdr:rowOff>11430</xdr:rowOff>
    </xdr:from>
    <xdr:to>
      <xdr:col>12</xdr:col>
      <xdr:colOff>579120</xdr:colOff>
      <xdr:row>24</xdr:row>
      <xdr:rowOff>129540</xdr:rowOff>
    </xdr:to>
    <xdr:graphicFrame macro="">
      <xdr:nvGraphicFramePr>
        <xdr:cNvPr id="4" name="Chart 3">
          <a:extLst>
            <a:ext uri="{FF2B5EF4-FFF2-40B4-BE49-F238E27FC236}">
              <a16:creationId xmlns:a16="http://schemas.microsoft.com/office/drawing/2014/main" id="{819146B0-E71E-D0D4-D19B-900884162C1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213360</xdr:colOff>
      <xdr:row>4</xdr:row>
      <xdr:rowOff>133350</xdr:rowOff>
    </xdr:from>
    <xdr:to>
      <xdr:col>9</xdr:col>
      <xdr:colOff>563880</xdr:colOff>
      <xdr:row>21</xdr:row>
      <xdr:rowOff>257735</xdr:rowOff>
    </xdr:to>
    <xdr:graphicFrame macro="">
      <xdr:nvGraphicFramePr>
        <xdr:cNvPr id="4" name="Chart 3">
          <a:extLst>
            <a:ext uri="{FF2B5EF4-FFF2-40B4-BE49-F238E27FC236}">
              <a16:creationId xmlns:a16="http://schemas.microsoft.com/office/drawing/2014/main" id="{5ADE09F7-918C-A344-5F50-BC879F188FB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5</xdr:col>
      <xdr:colOff>518160</xdr:colOff>
      <xdr:row>2</xdr:row>
      <xdr:rowOff>45720</xdr:rowOff>
    </xdr:from>
    <xdr:to>
      <xdr:col>12</xdr:col>
      <xdr:colOff>944880</xdr:colOff>
      <xdr:row>23</xdr:row>
      <xdr:rowOff>30480</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63D3B083-D11E-2FCA-3047-41BADB33B5D5}"/>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6058989" y="677091"/>
              <a:ext cx="4998720" cy="3903618"/>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6</xdr:col>
      <xdr:colOff>38100</xdr:colOff>
      <xdr:row>2</xdr:row>
      <xdr:rowOff>152400</xdr:rowOff>
    </xdr:from>
    <xdr:to>
      <xdr:col>13</xdr:col>
      <xdr:colOff>556260</xdr:colOff>
      <xdr:row>25</xdr:row>
      <xdr:rowOff>30480</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3F652FC4-DA7C-40AF-A252-7924B738D531}"/>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6754586" y="533400"/>
              <a:ext cx="5090160" cy="4161609"/>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19</xdr:col>
      <xdr:colOff>85164</xdr:colOff>
      <xdr:row>3</xdr:row>
      <xdr:rowOff>143437</xdr:rowOff>
    </xdr:from>
    <xdr:to>
      <xdr:col>29</xdr:col>
      <xdr:colOff>233082</xdr:colOff>
      <xdr:row>30</xdr:row>
      <xdr:rowOff>13606</xdr:rowOff>
    </xdr:to>
    <xdr:graphicFrame macro="">
      <xdr:nvGraphicFramePr>
        <xdr:cNvPr id="3" name="Chart 2">
          <a:extLst>
            <a:ext uri="{FF2B5EF4-FFF2-40B4-BE49-F238E27FC236}">
              <a16:creationId xmlns:a16="http://schemas.microsoft.com/office/drawing/2014/main" id="{A8279FFF-27FF-F276-E600-7AE70C8968B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21</xdr:col>
      <xdr:colOff>578142</xdr:colOff>
      <xdr:row>6</xdr:row>
      <xdr:rowOff>128626</xdr:rowOff>
    </xdr:from>
    <xdr:to>
      <xdr:col>31</xdr:col>
      <xdr:colOff>497460</xdr:colOff>
      <xdr:row>28</xdr:row>
      <xdr:rowOff>173450</xdr:rowOff>
    </xdr:to>
    <xdr:graphicFrame macro="">
      <xdr:nvGraphicFramePr>
        <xdr:cNvPr id="3" name="Chart 2">
          <a:extLst>
            <a:ext uri="{FF2B5EF4-FFF2-40B4-BE49-F238E27FC236}">
              <a16:creationId xmlns:a16="http://schemas.microsoft.com/office/drawing/2014/main" id="{F5B64571-90D9-5E96-BC12-F029E7B9BD4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62</xdr:col>
      <xdr:colOff>255131</xdr:colOff>
      <xdr:row>1</xdr:row>
      <xdr:rowOff>145593</xdr:rowOff>
    </xdr:from>
    <xdr:to>
      <xdr:col>74</xdr:col>
      <xdr:colOff>578303</xdr:colOff>
      <xdr:row>22</xdr:row>
      <xdr:rowOff>156483</xdr:rowOff>
    </xdr:to>
    <xdr:graphicFrame macro="">
      <xdr:nvGraphicFramePr>
        <xdr:cNvPr id="3" name="Chart 2">
          <a:extLst>
            <a:ext uri="{FF2B5EF4-FFF2-40B4-BE49-F238E27FC236}">
              <a16:creationId xmlns:a16="http://schemas.microsoft.com/office/drawing/2014/main" id="{3A73BB7E-E4F7-16EE-0E38-41E6F3D26D9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63</xdr:col>
      <xdr:colOff>142874</xdr:colOff>
      <xdr:row>2</xdr:row>
      <xdr:rowOff>95250</xdr:rowOff>
    </xdr:from>
    <xdr:to>
      <xdr:col>63</xdr:col>
      <xdr:colOff>326570</xdr:colOff>
      <xdr:row>3</xdr:row>
      <xdr:rowOff>102053</xdr:rowOff>
    </xdr:to>
    <xdr:sp macro="" textlink="">
      <xdr:nvSpPr>
        <xdr:cNvPr id="4" name="Arrow: Down 3">
          <a:extLst>
            <a:ext uri="{FF2B5EF4-FFF2-40B4-BE49-F238E27FC236}">
              <a16:creationId xmlns:a16="http://schemas.microsoft.com/office/drawing/2014/main" id="{F782A059-C921-7BBE-8AB7-8ABA36DFBB6E}"/>
            </a:ext>
          </a:extLst>
        </xdr:cNvPr>
        <xdr:cNvSpPr/>
      </xdr:nvSpPr>
      <xdr:spPr>
        <a:xfrm>
          <a:off x="13049250" y="462643"/>
          <a:ext cx="183696" cy="190500"/>
        </a:xfrm>
        <a:prstGeom prst="downArrow">
          <a:avLst/>
        </a:prstGeom>
        <a:solidFill>
          <a:srgbClr val="FF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arth Dhawan" refreshedDate="46223.608253587961" createdVersion="8" refreshedVersion="8" minRefreshableVersion="3" recordCount="23" xr:uid="{13A55B09-C345-4A61-B775-2D672BCCEEFA}">
  <cacheSource type="worksheet">
    <worksheetSource ref="A1:E24" sheet="1.category-subcategory"/>
  </cacheSource>
  <cacheFields count="5">
    <cacheField name="sub category" numFmtId="0">
      <sharedItems/>
    </cacheField>
    <cacheField name="rural" numFmtId="0">
      <sharedItems containsMixedTypes="1" containsNumber="1" minValue="121.9" maxValue="221"/>
    </cacheField>
    <cacheField name="urban" numFmtId="0">
      <sharedItems containsSemiMixedTypes="0" containsString="0" containsNumber="1" minValue="124.2" maxValue="219.4"/>
    </cacheField>
    <cacheField name="rural + urban" numFmtId="0">
      <sharedItems containsSemiMixedTypes="0" containsString="0" containsNumber="1" minValue="122.7" maxValue="218"/>
    </cacheField>
    <cacheField name="category" numFmtId="0">
      <sharedItems count="11">
        <s v="food"/>
        <s v="tabacco &amp; intoxicants"/>
        <s v="clothing"/>
        <s v="housing"/>
        <s v="energy"/>
        <s v="household "/>
        <s v="healthcare"/>
        <s v="transport"/>
        <s v="recreation"/>
        <s v="education"/>
        <s v="personal care"/>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arth Dhawan" refreshedDate="46223.646827199074" createdVersion="8" refreshedVersion="8" minRefreshableVersion="3" recordCount="76" xr:uid="{8A8FF450-701B-4232-A20F-BE160E9017A1}">
  <cacheSource type="worksheet">
    <worksheetSource ref="A1:C77" sheet="CPI (2)"/>
  </cacheSource>
  <cacheFields count="3">
    <cacheField name="Year" numFmtId="0">
      <sharedItems containsSemiMixedTypes="0" containsString="0" containsNumber="1" containsInteger="1" minValue="2017" maxValue="2023" count="7">
        <n v="2017"/>
        <n v="2018"/>
        <n v="2019"/>
        <n v="2020"/>
        <n v="2021"/>
        <n v="2022"/>
        <n v="2023"/>
      </sharedItems>
    </cacheField>
    <cacheField name="Sector" numFmtId="0">
      <sharedItems count="1">
        <s v="Rural+Urban"/>
      </sharedItems>
    </cacheField>
    <cacheField name="General index" numFmtId="0">
      <sharedItems containsString="0" containsBlank="1" containsNumber="1" minValue="130.30000000000001" maxValue="179.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
  <r>
    <s v="Cereals and products"/>
    <n v="173.2"/>
    <n v="174.7"/>
    <n v="173.7"/>
    <x v="0"/>
  </r>
  <r>
    <s v="Meat and fish"/>
    <n v="211.5"/>
    <n v="219.4"/>
    <n v="214.3"/>
    <x v="0"/>
  </r>
  <r>
    <s v="Egg"/>
    <n v="171"/>
    <n v="176.7"/>
    <n v="173.2"/>
    <x v="0"/>
  </r>
  <r>
    <s v="Milk and products"/>
    <n v="179.6"/>
    <n v="179.4"/>
    <n v="179.5"/>
    <x v="0"/>
  </r>
  <r>
    <s v="Oils and fats"/>
    <n v="173.3"/>
    <n v="164.4"/>
    <n v="170"/>
    <x v="0"/>
  </r>
  <r>
    <s v="Fruits"/>
    <n v="169"/>
    <n v="175.8"/>
    <n v="172.2"/>
    <x v="0"/>
  </r>
  <r>
    <s v="Vegetables"/>
    <n v="148.69999999999999"/>
    <n v="185"/>
    <n v="161"/>
    <x v="0"/>
  </r>
  <r>
    <s v="Pulses and products"/>
    <n v="174.9"/>
    <n v="176.9"/>
    <n v="175.6"/>
    <x v="0"/>
  </r>
  <r>
    <s v="Sugar and Confectionery"/>
    <n v="121.9"/>
    <n v="124.2"/>
    <n v="122.7"/>
    <x v="0"/>
  </r>
  <r>
    <s v="Spices"/>
    <n v="221"/>
    <n v="211.9"/>
    <n v="218"/>
    <x v="0"/>
  </r>
  <r>
    <s v="Non-alcoholic beverages"/>
    <n v="178.7"/>
    <n v="165.9"/>
    <n v="173.4"/>
    <x v="0"/>
  </r>
  <r>
    <s v="Prepared meals, snacks, sweets etc."/>
    <n v="191.1"/>
    <n v="197.7"/>
    <n v="194.2"/>
    <x v="0"/>
  </r>
  <r>
    <s v="Pan, tobacco and intoxicants"/>
    <n v="199.9"/>
    <n v="204.2"/>
    <n v="201"/>
    <x v="1"/>
  </r>
  <r>
    <s v="Clothing"/>
    <n v="191.2"/>
    <n v="181.3"/>
    <n v="187.3"/>
    <x v="2"/>
  </r>
  <r>
    <s v="Footwear"/>
    <n v="187.9"/>
    <n v="168.1"/>
    <n v="179.7"/>
    <x v="2"/>
  </r>
  <r>
    <s v="Housing"/>
    <s v="-"/>
    <n v="175.6"/>
    <n v="175.6"/>
    <x v="3"/>
  </r>
  <r>
    <s v="Fuel and light"/>
    <n v="182.5"/>
    <n v="183.4"/>
    <n v="182.8"/>
    <x v="4"/>
  </r>
  <r>
    <s v="Household goods and services"/>
    <n v="179.8"/>
    <n v="170.1"/>
    <n v="175.2"/>
    <x v="5"/>
  </r>
  <r>
    <s v="Health"/>
    <n v="187.8"/>
    <n v="182.2"/>
    <n v="185.7"/>
    <x v="6"/>
  </r>
  <r>
    <s v="Transport and communication"/>
    <n v="169.7"/>
    <n v="160.4"/>
    <n v="164.8"/>
    <x v="7"/>
  </r>
  <r>
    <s v="Recreation and amusement"/>
    <n v="173.8"/>
    <n v="169.2"/>
    <n v="171.2"/>
    <x v="8"/>
  </r>
  <r>
    <s v="Education"/>
    <n v="180.3"/>
    <n v="174.8"/>
    <n v="177.1"/>
    <x v="9"/>
  </r>
  <r>
    <s v="Personal care and effects"/>
    <n v="184.9"/>
    <n v="185.6"/>
    <n v="185.2"/>
    <x v="1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6">
  <r>
    <x v="0"/>
    <x v="0"/>
    <n v="130.30000000000001"/>
  </r>
  <r>
    <x v="0"/>
    <x v="0"/>
    <n v="130.6"/>
  </r>
  <r>
    <x v="0"/>
    <x v="0"/>
    <n v="130.9"/>
  </r>
  <r>
    <x v="0"/>
    <x v="0"/>
    <n v="131.1"/>
  </r>
  <r>
    <x v="0"/>
    <x v="0"/>
    <n v="131.4"/>
  </r>
  <r>
    <x v="0"/>
    <x v="0"/>
    <n v="132"/>
  </r>
  <r>
    <x v="0"/>
    <x v="0"/>
    <n v="134.19999999999999"/>
  </r>
  <r>
    <x v="0"/>
    <x v="0"/>
    <n v="135.4"/>
  </r>
  <r>
    <x v="0"/>
    <x v="0"/>
    <n v="135.19999999999999"/>
  </r>
  <r>
    <x v="0"/>
    <x v="0"/>
    <n v="136.1"/>
  </r>
  <r>
    <x v="0"/>
    <x v="0"/>
    <n v="137.6"/>
  </r>
  <r>
    <x v="0"/>
    <x v="0"/>
    <n v="137.19999999999999"/>
  </r>
  <r>
    <x v="1"/>
    <x v="0"/>
    <n v="136.9"/>
  </r>
  <r>
    <x v="1"/>
    <x v="0"/>
    <n v="136.4"/>
  </r>
  <r>
    <x v="1"/>
    <x v="0"/>
    <n v="136.5"/>
  </r>
  <r>
    <x v="1"/>
    <x v="0"/>
    <n v="137.1"/>
  </r>
  <r>
    <x v="1"/>
    <x v="0"/>
    <n v="137.80000000000001"/>
  </r>
  <r>
    <x v="1"/>
    <x v="0"/>
    <n v="138.5"/>
  </r>
  <r>
    <x v="1"/>
    <x v="0"/>
    <n v="139.80000000000001"/>
  </r>
  <r>
    <x v="1"/>
    <x v="0"/>
    <n v="140.4"/>
  </r>
  <r>
    <x v="1"/>
    <x v="0"/>
    <n v="140.19999999999999"/>
  </r>
  <r>
    <x v="1"/>
    <x v="0"/>
    <n v="140.80000000000001"/>
  </r>
  <r>
    <x v="1"/>
    <x v="0"/>
    <n v="140.80000000000001"/>
  </r>
  <r>
    <x v="1"/>
    <x v="0"/>
    <n v="140.1"/>
  </r>
  <r>
    <x v="2"/>
    <x v="0"/>
    <n v="139.6"/>
  </r>
  <r>
    <x v="2"/>
    <x v="0"/>
    <n v="139.9"/>
  </r>
  <r>
    <x v="2"/>
    <x v="0"/>
    <n v="140.4"/>
  </r>
  <r>
    <x v="2"/>
    <x v="0"/>
    <n v="142"/>
  </r>
  <r>
    <x v="2"/>
    <x v="0"/>
    <n v="142.9"/>
  </r>
  <r>
    <x v="2"/>
    <x v="0"/>
    <n v="144.19999999999999"/>
  </r>
  <r>
    <x v="2"/>
    <x v="0"/>
    <n v="145"/>
  </r>
  <r>
    <x v="2"/>
    <x v="0"/>
    <n v="145.80000000000001"/>
  </r>
  <r>
    <x v="2"/>
    <x v="0"/>
    <n v="147.19999999999999"/>
  </r>
  <r>
    <x v="2"/>
    <x v="0"/>
    <n v="148.6"/>
  </r>
  <r>
    <x v="2"/>
    <x v="0"/>
    <n v="150.4"/>
  </r>
  <r>
    <x v="3"/>
    <x v="0"/>
    <n v="150.19999999999999"/>
  </r>
  <r>
    <x v="3"/>
    <x v="0"/>
    <n v="149.1"/>
  </r>
  <r>
    <x v="3"/>
    <x v="0"/>
    <n v="148.6"/>
  </r>
  <r>
    <x v="3"/>
    <x v="0"/>
    <m/>
  </r>
  <r>
    <x v="3"/>
    <x v="0"/>
    <m/>
  </r>
  <r>
    <x v="3"/>
    <x v="0"/>
    <n v="151.80000000000001"/>
  </r>
  <r>
    <x v="3"/>
    <x v="0"/>
    <n v="151.80000000000001"/>
  </r>
  <r>
    <x v="3"/>
    <x v="0"/>
    <n v="153.9"/>
  </r>
  <r>
    <x v="3"/>
    <x v="0"/>
    <n v="154.69999999999999"/>
  </r>
  <r>
    <x v="3"/>
    <x v="0"/>
    <n v="156.4"/>
  </r>
  <r>
    <x v="3"/>
    <x v="0"/>
    <n v="158.4"/>
  </r>
  <r>
    <x v="3"/>
    <x v="0"/>
    <n v="158.9"/>
  </r>
  <r>
    <x v="4"/>
    <x v="0"/>
    <n v="157.30000000000001"/>
  </r>
  <r>
    <x v="4"/>
    <x v="0"/>
    <n v="156.6"/>
  </r>
  <r>
    <x v="4"/>
    <x v="0"/>
    <n v="156.80000000000001"/>
  </r>
  <r>
    <x v="4"/>
    <x v="0"/>
    <n v="157.80000000000001"/>
  </r>
  <r>
    <x v="4"/>
    <x v="0"/>
    <n v="160.4"/>
  </r>
  <r>
    <x v="4"/>
    <x v="0"/>
    <n v="161.30000000000001"/>
  </r>
  <r>
    <x v="4"/>
    <x v="0"/>
    <n v="162.5"/>
  </r>
  <r>
    <x v="4"/>
    <x v="0"/>
    <n v="163.19999999999999"/>
  </r>
  <r>
    <x v="4"/>
    <x v="0"/>
    <n v="163.19999999999999"/>
  </r>
  <r>
    <x v="4"/>
    <x v="0"/>
    <n v="165.5"/>
  </r>
  <r>
    <x v="4"/>
    <x v="0"/>
    <n v="166.7"/>
  </r>
  <r>
    <x v="4"/>
    <x v="0"/>
    <n v="166.2"/>
  </r>
  <r>
    <x v="5"/>
    <x v="0"/>
    <n v="165.7"/>
  </r>
  <r>
    <x v="5"/>
    <x v="0"/>
    <n v="166.1"/>
  </r>
  <r>
    <x v="5"/>
    <x v="0"/>
    <n v="167.7"/>
  </r>
  <r>
    <x v="5"/>
    <x v="0"/>
    <n v="170.1"/>
  </r>
  <r>
    <x v="5"/>
    <x v="0"/>
    <n v="171.7"/>
  </r>
  <r>
    <x v="5"/>
    <x v="0"/>
    <n v="172.6"/>
  </r>
  <r>
    <x v="5"/>
    <x v="0"/>
    <n v="173.4"/>
  </r>
  <r>
    <x v="5"/>
    <x v="0"/>
    <n v="174.3"/>
  </r>
  <r>
    <x v="5"/>
    <x v="0"/>
    <n v="175.3"/>
  </r>
  <r>
    <x v="5"/>
    <x v="0"/>
    <n v="176.7"/>
  </r>
  <r>
    <x v="5"/>
    <x v="0"/>
    <n v="176.5"/>
  </r>
  <r>
    <x v="5"/>
    <x v="0"/>
    <n v="175.7"/>
  </r>
  <r>
    <x v="6"/>
    <x v="0"/>
    <n v="176.5"/>
  </r>
  <r>
    <x v="6"/>
    <x v="0"/>
    <n v="177.2"/>
  </r>
  <r>
    <x v="6"/>
    <x v="0"/>
    <n v="177.2"/>
  </r>
  <r>
    <x v="6"/>
    <x v="0"/>
    <n v="178.1"/>
  </r>
  <r>
    <x v="6"/>
    <x v="0"/>
    <n v="179.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5693ECB-8A91-42C9-A641-97C5EF6A983A}"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rowHeaderCaption="Broader Category">
  <location ref="D8:E20" firstHeaderRow="1" firstDataRow="1" firstDataCol="1"/>
  <pivotFields count="5">
    <pivotField showAll="0"/>
    <pivotField showAll="0"/>
    <pivotField showAll="0"/>
    <pivotField dataField="1" showAll="0"/>
    <pivotField axis="axisRow" showAll="0">
      <items count="12">
        <item x="2"/>
        <item x="9"/>
        <item x="4"/>
        <item x="0"/>
        <item x="6"/>
        <item x="5"/>
        <item x="3"/>
        <item x="10"/>
        <item x="8"/>
        <item x="1"/>
        <item x="7"/>
        <item t="default"/>
      </items>
    </pivotField>
  </pivotFields>
  <rowFields count="1">
    <field x="4"/>
  </rowFields>
  <rowItems count="12">
    <i>
      <x/>
    </i>
    <i>
      <x v="1"/>
    </i>
    <i>
      <x v="2"/>
    </i>
    <i>
      <x v="3"/>
    </i>
    <i>
      <x v="4"/>
    </i>
    <i>
      <x v="5"/>
    </i>
    <i>
      <x v="6"/>
    </i>
    <i>
      <x v="7"/>
    </i>
    <i>
      <x v="8"/>
    </i>
    <i>
      <x v="9"/>
    </i>
    <i>
      <x v="10"/>
    </i>
    <i t="grand">
      <x/>
    </i>
  </rowItems>
  <colItems count="1">
    <i/>
  </colItems>
  <dataFields count="1">
    <dataField name="Contribution (%)" fld="3" showDataAs="percentOfTotal" baseField="4" baseItem="0" numFmtId="10"/>
  </dataFields>
  <formats count="2">
    <format dxfId="3">
      <pivotArea collapsedLevelsAreSubtotals="1" fieldPosition="0">
        <references count="1">
          <reference field="4" count="1">
            <x v="3"/>
          </reference>
        </references>
      </pivotArea>
    </format>
    <format dxfId="2">
      <pivotArea dataOnly="0" labelOnly="1" fieldPosition="0">
        <references count="1">
          <reference field="4" count="1">
            <x v="3"/>
          </reference>
        </references>
      </pivotArea>
    </format>
  </formats>
  <chartFormats count="12">
    <chartFormat chart="6" format="0" series="1">
      <pivotArea type="data" outline="0" fieldPosition="0">
        <references count="1">
          <reference field="4294967294" count="1" selected="0">
            <x v="0"/>
          </reference>
        </references>
      </pivotArea>
    </chartFormat>
    <chartFormat chart="6" format="1">
      <pivotArea type="data" outline="0" fieldPosition="0">
        <references count="2">
          <reference field="4294967294" count="1" selected="0">
            <x v="0"/>
          </reference>
          <reference field="4" count="1" selected="0">
            <x v="0"/>
          </reference>
        </references>
      </pivotArea>
    </chartFormat>
    <chartFormat chart="6" format="2">
      <pivotArea type="data" outline="0" fieldPosition="0">
        <references count="2">
          <reference field="4294967294" count="1" selected="0">
            <x v="0"/>
          </reference>
          <reference field="4" count="1" selected="0">
            <x v="1"/>
          </reference>
        </references>
      </pivotArea>
    </chartFormat>
    <chartFormat chart="6" format="3">
      <pivotArea type="data" outline="0" fieldPosition="0">
        <references count="2">
          <reference field="4294967294" count="1" selected="0">
            <x v="0"/>
          </reference>
          <reference field="4" count="1" selected="0">
            <x v="2"/>
          </reference>
        </references>
      </pivotArea>
    </chartFormat>
    <chartFormat chart="6" format="4">
      <pivotArea type="data" outline="0" fieldPosition="0">
        <references count="2">
          <reference field="4294967294" count="1" selected="0">
            <x v="0"/>
          </reference>
          <reference field="4" count="1" selected="0">
            <x v="3"/>
          </reference>
        </references>
      </pivotArea>
    </chartFormat>
    <chartFormat chart="6" format="5">
      <pivotArea type="data" outline="0" fieldPosition="0">
        <references count="2">
          <reference field="4294967294" count="1" selected="0">
            <x v="0"/>
          </reference>
          <reference field="4" count="1" selected="0">
            <x v="4"/>
          </reference>
        </references>
      </pivotArea>
    </chartFormat>
    <chartFormat chart="6" format="6">
      <pivotArea type="data" outline="0" fieldPosition="0">
        <references count="2">
          <reference field="4294967294" count="1" selected="0">
            <x v="0"/>
          </reference>
          <reference field="4" count="1" selected="0">
            <x v="5"/>
          </reference>
        </references>
      </pivotArea>
    </chartFormat>
    <chartFormat chart="6" format="7">
      <pivotArea type="data" outline="0" fieldPosition="0">
        <references count="2">
          <reference field="4294967294" count="1" selected="0">
            <x v="0"/>
          </reference>
          <reference field="4" count="1" selected="0">
            <x v="6"/>
          </reference>
        </references>
      </pivotArea>
    </chartFormat>
    <chartFormat chart="6" format="8">
      <pivotArea type="data" outline="0" fieldPosition="0">
        <references count="2">
          <reference field="4294967294" count="1" selected="0">
            <x v="0"/>
          </reference>
          <reference field="4" count="1" selected="0">
            <x v="7"/>
          </reference>
        </references>
      </pivotArea>
    </chartFormat>
    <chartFormat chart="6" format="9">
      <pivotArea type="data" outline="0" fieldPosition="0">
        <references count="2">
          <reference field="4294967294" count="1" selected="0">
            <x v="0"/>
          </reference>
          <reference field="4" count="1" selected="0">
            <x v="8"/>
          </reference>
        </references>
      </pivotArea>
    </chartFormat>
    <chartFormat chart="6" format="10">
      <pivotArea type="data" outline="0" fieldPosition="0">
        <references count="2">
          <reference field="4294967294" count="1" selected="0">
            <x v="0"/>
          </reference>
          <reference field="4" count="1" selected="0">
            <x v="9"/>
          </reference>
        </references>
      </pivotArea>
    </chartFormat>
    <chartFormat chart="6" format="11">
      <pivotArea type="data" outline="0" fieldPosition="0">
        <references count="2">
          <reference field="4294967294" count="1" selected="0">
            <x v="0"/>
          </reference>
          <reference field="4" count="1" selected="0">
            <x v="1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8D84D8B-0F10-4CC2-87F8-1482CA1C8BBB}" name="PivotTable8"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Year">
  <location ref="A3:B11" firstHeaderRow="1" firstDataRow="1" firstDataCol="1"/>
  <pivotFields count="3">
    <pivotField axis="axisRow" showAll="0">
      <items count="8">
        <item x="0"/>
        <item x="1"/>
        <item x="2"/>
        <item x="3"/>
        <item x="4"/>
        <item x="5"/>
        <item x="6"/>
        <item t="default"/>
      </items>
    </pivotField>
    <pivotField showAll="0">
      <items count="2">
        <item x="0"/>
        <item t="default"/>
      </items>
    </pivotField>
    <pivotField dataField="1" showAll="0"/>
  </pivotFields>
  <rowFields count="1">
    <field x="0"/>
  </rowFields>
  <rowItems count="8">
    <i>
      <x/>
    </i>
    <i>
      <x v="1"/>
    </i>
    <i>
      <x v="2"/>
    </i>
    <i>
      <x v="3"/>
    </i>
    <i>
      <x v="4"/>
    </i>
    <i>
      <x v="5"/>
    </i>
    <i>
      <x v="6"/>
    </i>
    <i t="grand">
      <x/>
    </i>
  </rowItems>
  <colItems count="1">
    <i/>
  </colItems>
  <dataFields count="1">
    <dataField name="Average CPI Index" fld="2" subtotal="average" baseField="0" baseItem="0"/>
  </dataFields>
  <formats count="2">
    <format dxfId="1">
      <pivotArea collapsedLevelsAreSubtotals="1" fieldPosition="0">
        <references count="1">
          <reference field="0" count="0"/>
        </references>
      </pivotArea>
    </format>
    <format dxfId="0">
      <pivotArea grandRow="1"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5.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4DD1CE-26D4-42CA-86FD-60E93FD3388D}">
  <dimension ref="A1:A6"/>
  <sheetViews>
    <sheetView workbookViewId="0">
      <selection activeCell="F22" sqref="F22"/>
    </sheetView>
  </sheetViews>
  <sheetFormatPr defaultRowHeight="14.6"/>
  <sheetData>
    <row r="1" spans="1:1">
      <c r="A1" t="s">
        <v>310</v>
      </c>
    </row>
    <row r="3" spans="1:1">
      <c r="A3" t="s">
        <v>311</v>
      </c>
    </row>
    <row r="5" spans="1:1">
      <c r="A5" t="s">
        <v>312</v>
      </c>
    </row>
    <row r="6" spans="1:1">
      <c r="A6" t="s">
        <v>313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C3498B-5BB7-4329-BF12-AC80C7B794B1}">
  <dimension ref="A1:AD373"/>
  <sheetViews>
    <sheetView zoomScale="85" zoomScaleNormal="85" workbookViewId="0">
      <selection activeCell="AG19" sqref="AG19"/>
    </sheetView>
  </sheetViews>
  <sheetFormatPr defaultRowHeight="14.6"/>
  <cols>
    <col min="1" max="1" width="11.23046875" bestFit="1" customWidth="1"/>
    <col min="2" max="2" width="6.84375" bestFit="1" customWidth="1"/>
    <col min="3" max="3" width="10" bestFit="1" customWidth="1"/>
    <col min="4" max="4" width="21" bestFit="1" customWidth="1"/>
    <col min="5" max="5" width="14.765625" bestFit="1" customWidth="1"/>
    <col min="6" max="6" width="6.23046875" bestFit="1" customWidth="1"/>
    <col min="7" max="7" width="18.53515625" bestFit="1" customWidth="1"/>
    <col min="8" max="8" width="13.4609375" bestFit="1" customWidth="1"/>
    <col min="9" max="9" width="7.765625" bestFit="1" customWidth="1"/>
    <col min="10" max="10" width="12.4609375" bestFit="1" customWidth="1"/>
    <col min="11" max="11" width="20.23046875" bestFit="1" customWidth="1"/>
    <col min="12" max="12" width="24.3046875" bestFit="1" customWidth="1"/>
    <col min="13" max="13" width="8.4609375" bestFit="1" customWidth="1"/>
    <col min="14" max="14" width="24.23046875" bestFit="1" customWidth="1"/>
    <col min="15" max="15" width="33.53515625" bestFit="1" customWidth="1"/>
    <col min="16" max="16" width="20.3046875" bestFit="1" customWidth="1"/>
    <col min="17" max="17" width="27.84375" bestFit="1" customWidth="1"/>
    <col min="18" max="18" width="10.23046875" bestFit="1" customWidth="1"/>
    <col min="19" max="19" width="11.15234375" bestFit="1" customWidth="1"/>
    <col min="20" max="20" width="22.23046875" bestFit="1" customWidth="1"/>
    <col min="21" max="21" width="10" bestFit="1" customWidth="1"/>
    <col min="22" max="22" width="14.4609375" bestFit="1" customWidth="1"/>
    <col min="23" max="23" width="28.84375" bestFit="1" customWidth="1"/>
    <col min="24" max="24" width="8.69140625" bestFit="1" customWidth="1"/>
    <col min="25" max="25" width="29.15234375" bestFit="1" customWidth="1"/>
    <col min="26" max="26" width="26.69140625" bestFit="1" customWidth="1"/>
    <col min="27" max="27" width="11.69140625" bestFit="1" customWidth="1"/>
    <col min="28" max="28" width="24.53515625" bestFit="1" customWidth="1"/>
    <col min="29" max="29" width="15.15234375" bestFit="1" customWidth="1"/>
    <col min="30" max="30" width="14.69140625" bestFit="1" customWidth="1"/>
  </cols>
  <sheetData>
    <row r="1" spans="1:30">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row>
    <row r="2" spans="1:30">
      <c r="A2" t="s">
        <v>30</v>
      </c>
      <c r="B2">
        <v>2013</v>
      </c>
      <c r="C2" t="s">
        <v>31</v>
      </c>
      <c r="D2">
        <v>107.5</v>
      </c>
      <c r="E2">
        <v>106.3</v>
      </c>
      <c r="F2">
        <v>108.1</v>
      </c>
      <c r="G2">
        <v>104.9</v>
      </c>
      <c r="H2">
        <v>106.1</v>
      </c>
      <c r="I2">
        <v>103.9</v>
      </c>
      <c r="J2">
        <v>101.9</v>
      </c>
      <c r="K2">
        <v>106.1</v>
      </c>
      <c r="L2">
        <v>106.8</v>
      </c>
      <c r="M2">
        <v>103.1</v>
      </c>
      <c r="N2">
        <v>104.8</v>
      </c>
      <c r="O2">
        <v>106.7</v>
      </c>
      <c r="P2">
        <v>105.5</v>
      </c>
      <c r="Q2">
        <v>105.1</v>
      </c>
      <c r="R2">
        <v>106.5</v>
      </c>
      <c r="S2">
        <v>105.8</v>
      </c>
      <c r="T2">
        <v>106.4</v>
      </c>
      <c r="U2" t="s">
        <v>32</v>
      </c>
      <c r="V2">
        <v>105.5</v>
      </c>
      <c r="W2">
        <v>104.8</v>
      </c>
      <c r="X2">
        <v>104</v>
      </c>
      <c r="Y2">
        <v>103.3</v>
      </c>
      <c r="Z2">
        <v>103.4</v>
      </c>
      <c r="AA2">
        <v>103.8</v>
      </c>
      <c r="AB2">
        <v>104.7</v>
      </c>
      <c r="AC2">
        <v>104</v>
      </c>
      <c r="AD2">
        <v>105.1</v>
      </c>
    </row>
    <row r="3" spans="1:30">
      <c r="A3" t="s">
        <v>33</v>
      </c>
      <c r="B3">
        <v>2013</v>
      </c>
      <c r="C3" t="s">
        <v>31</v>
      </c>
      <c r="D3">
        <v>110.5</v>
      </c>
      <c r="E3">
        <v>109.1</v>
      </c>
      <c r="F3">
        <v>113</v>
      </c>
      <c r="G3">
        <v>103.6</v>
      </c>
      <c r="H3">
        <v>103.4</v>
      </c>
      <c r="I3">
        <v>102.3</v>
      </c>
      <c r="J3">
        <v>102.9</v>
      </c>
      <c r="K3">
        <v>105.8</v>
      </c>
      <c r="L3">
        <v>105.1</v>
      </c>
      <c r="M3">
        <v>101.8</v>
      </c>
      <c r="N3">
        <v>105.1</v>
      </c>
      <c r="O3">
        <v>107.9</v>
      </c>
      <c r="P3">
        <v>105.9</v>
      </c>
      <c r="Q3">
        <v>105.2</v>
      </c>
      <c r="R3">
        <v>105.9</v>
      </c>
      <c r="S3">
        <v>105</v>
      </c>
      <c r="T3">
        <v>105.8</v>
      </c>
      <c r="U3" t="s">
        <v>34</v>
      </c>
      <c r="V3">
        <v>105.4</v>
      </c>
      <c r="W3">
        <v>104.8</v>
      </c>
      <c r="X3">
        <v>104.1</v>
      </c>
      <c r="Y3">
        <v>103.2</v>
      </c>
      <c r="Z3">
        <v>102.9</v>
      </c>
      <c r="AA3">
        <v>103.5</v>
      </c>
      <c r="AB3">
        <v>104.3</v>
      </c>
      <c r="AC3">
        <v>103.7</v>
      </c>
      <c r="AD3">
        <v>104</v>
      </c>
    </row>
    <row r="4" spans="1:30">
      <c r="A4" t="s">
        <v>35</v>
      </c>
      <c r="B4">
        <v>2013</v>
      </c>
      <c r="C4" t="s">
        <v>31</v>
      </c>
      <c r="D4">
        <v>108.4</v>
      </c>
      <c r="E4">
        <v>107.3</v>
      </c>
      <c r="F4">
        <v>110</v>
      </c>
      <c r="G4">
        <v>104.4</v>
      </c>
      <c r="H4">
        <v>105.1</v>
      </c>
      <c r="I4">
        <v>103.2</v>
      </c>
      <c r="J4">
        <v>102.2</v>
      </c>
      <c r="K4">
        <v>106</v>
      </c>
      <c r="L4">
        <v>106.2</v>
      </c>
      <c r="M4">
        <v>102.7</v>
      </c>
      <c r="N4">
        <v>104.9</v>
      </c>
      <c r="O4">
        <v>107.3</v>
      </c>
      <c r="P4">
        <v>105.6</v>
      </c>
      <c r="Q4">
        <v>105.1</v>
      </c>
      <c r="R4">
        <v>106.3</v>
      </c>
      <c r="S4">
        <v>105.5</v>
      </c>
      <c r="T4">
        <v>106.2</v>
      </c>
      <c r="U4" t="s">
        <v>34</v>
      </c>
      <c r="V4">
        <v>105.5</v>
      </c>
      <c r="W4">
        <v>104.8</v>
      </c>
      <c r="X4">
        <v>104</v>
      </c>
      <c r="Y4">
        <v>103.2</v>
      </c>
      <c r="Z4">
        <v>103.1</v>
      </c>
      <c r="AA4">
        <v>103.6</v>
      </c>
      <c r="AB4">
        <v>104.5</v>
      </c>
      <c r="AC4">
        <v>103.9</v>
      </c>
      <c r="AD4">
        <v>104.6</v>
      </c>
    </row>
    <row r="5" spans="1:30">
      <c r="A5" t="s">
        <v>30</v>
      </c>
      <c r="B5">
        <v>2013</v>
      </c>
      <c r="C5" t="s">
        <v>36</v>
      </c>
      <c r="D5">
        <v>109.2</v>
      </c>
      <c r="E5">
        <v>108.7</v>
      </c>
      <c r="F5">
        <v>110.2</v>
      </c>
      <c r="G5">
        <v>105.4</v>
      </c>
      <c r="H5">
        <v>106.7</v>
      </c>
      <c r="I5">
        <v>104</v>
      </c>
      <c r="J5">
        <v>102.4</v>
      </c>
      <c r="K5">
        <v>105.9</v>
      </c>
      <c r="L5">
        <v>105.7</v>
      </c>
      <c r="M5">
        <v>103.1</v>
      </c>
      <c r="N5">
        <v>105.1</v>
      </c>
      <c r="O5">
        <v>107.7</v>
      </c>
      <c r="P5">
        <v>106.3</v>
      </c>
      <c r="Q5">
        <v>105.6</v>
      </c>
      <c r="R5">
        <v>107.1</v>
      </c>
      <c r="S5">
        <v>106.3</v>
      </c>
      <c r="T5">
        <v>107</v>
      </c>
      <c r="U5" t="s">
        <v>32</v>
      </c>
      <c r="V5">
        <v>106.2</v>
      </c>
      <c r="W5">
        <v>105.2</v>
      </c>
      <c r="X5">
        <v>104.4</v>
      </c>
      <c r="Y5">
        <v>103.9</v>
      </c>
      <c r="Z5">
        <v>104</v>
      </c>
      <c r="AA5">
        <v>104.1</v>
      </c>
      <c r="AB5">
        <v>104.6</v>
      </c>
      <c r="AC5">
        <v>104.4</v>
      </c>
      <c r="AD5">
        <v>105.8</v>
      </c>
    </row>
    <row r="6" spans="1:30">
      <c r="A6" t="s">
        <v>33</v>
      </c>
      <c r="B6">
        <v>2013</v>
      </c>
      <c r="C6" t="s">
        <v>36</v>
      </c>
      <c r="D6">
        <v>112.9</v>
      </c>
      <c r="E6">
        <v>112.9</v>
      </c>
      <c r="F6">
        <v>116.9</v>
      </c>
      <c r="G6">
        <v>104</v>
      </c>
      <c r="H6">
        <v>103.5</v>
      </c>
      <c r="I6">
        <v>103.1</v>
      </c>
      <c r="J6">
        <v>104.9</v>
      </c>
      <c r="K6">
        <v>104.1</v>
      </c>
      <c r="L6">
        <v>103.8</v>
      </c>
      <c r="M6">
        <v>102.3</v>
      </c>
      <c r="N6">
        <v>106</v>
      </c>
      <c r="O6">
        <v>109</v>
      </c>
      <c r="P6">
        <v>107.2</v>
      </c>
      <c r="Q6">
        <v>106</v>
      </c>
      <c r="R6">
        <v>106.6</v>
      </c>
      <c r="S6">
        <v>105.5</v>
      </c>
      <c r="T6">
        <v>106.4</v>
      </c>
      <c r="U6" t="s">
        <v>37</v>
      </c>
      <c r="V6">
        <v>105.7</v>
      </c>
      <c r="W6">
        <v>105.2</v>
      </c>
      <c r="X6">
        <v>104.7</v>
      </c>
      <c r="Y6">
        <v>104.4</v>
      </c>
      <c r="Z6">
        <v>103.3</v>
      </c>
      <c r="AA6">
        <v>103.7</v>
      </c>
      <c r="AB6">
        <v>104.3</v>
      </c>
      <c r="AC6">
        <v>104.3</v>
      </c>
      <c r="AD6">
        <v>104.7</v>
      </c>
    </row>
    <row r="7" spans="1:30">
      <c r="A7" t="s">
        <v>35</v>
      </c>
      <c r="B7">
        <v>2013</v>
      </c>
      <c r="C7" t="s">
        <v>36</v>
      </c>
      <c r="D7">
        <v>110.4</v>
      </c>
      <c r="E7">
        <v>110.2</v>
      </c>
      <c r="F7">
        <v>112.8</v>
      </c>
      <c r="G7">
        <v>104.9</v>
      </c>
      <c r="H7">
        <v>105.5</v>
      </c>
      <c r="I7">
        <v>103.6</v>
      </c>
      <c r="J7">
        <v>103.2</v>
      </c>
      <c r="K7">
        <v>105.3</v>
      </c>
      <c r="L7">
        <v>105.1</v>
      </c>
      <c r="M7">
        <v>102.8</v>
      </c>
      <c r="N7">
        <v>105.5</v>
      </c>
      <c r="O7">
        <v>108.3</v>
      </c>
      <c r="P7">
        <v>106.6</v>
      </c>
      <c r="Q7">
        <v>105.7</v>
      </c>
      <c r="R7">
        <v>106.9</v>
      </c>
      <c r="S7">
        <v>106</v>
      </c>
      <c r="T7">
        <v>106.8</v>
      </c>
      <c r="U7" t="s">
        <v>37</v>
      </c>
      <c r="V7">
        <v>106</v>
      </c>
      <c r="W7">
        <v>105.2</v>
      </c>
      <c r="X7">
        <v>104.5</v>
      </c>
      <c r="Y7">
        <v>104.2</v>
      </c>
      <c r="Z7">
        <v>103.6</v>
      </c>
      <c r="AA7">
        <v>103.9</v>
      </c>
      <c r="AB7">
        <v>104.5</v>
      </c>
      <c r="AC7">
        <v>104.4</v>
      </c>
      <c r="AD7">
        <v>105.3</v>
      </c>
    </row>
    <row r="8" spans="1:30">
      <c r="A8" t="s">
        <v>30</v>
      </c>
      <c r="B8">
        <v>2013</v>
      </c>
      <c r="C8" t="s">
        <v>38</v>
      </c>
      <c r="D8">
        <v>110.2</v>
      </c>
      <c r="E8">
        <v>108.8</v>
      </c>
      <c r="F8">
        <v>109.9</v>
      </c>
      <c r="G8">
        <v>105.6</v>
      </c>
      <c r="H8">
        <v>106.2</v>
      </c>
      <c r="I8">
        <v>105.7</v>
      </c>
      <c r="J8">
        <v>101.4</v>
      </c>
      <c r="K8">
        <v>105.7</v>
      </c>
      <c r="L8">
        <v>105</v>
      </c>
      <c r="M8">
        <v>103.3</v>
      </c>
      <c r="N8">
        <v>105.6</v>
      </c>
      <c r="O8">
        <v>108.2</v>
      </c>
      <c r="P8">
        <v>106.6</v>
      </c>
      <c r="Q8">
        <v>106.5</v>
      </c>
      <c r="R8">
        <v>107.6</v>
      </c>
      <c r="S8">
        <v>106.8</v>
      </c>
      <c r="T8">
        <v>107.5</v>
      </c>
      <c r="U8" t="s">
        <v>32</v>
      </c>
      <c r="V8">
        <v>106.1</v>
      </c>
      <c r="W8">
        <v>105.6</v>
      </c>
      <c r="X8">
        <v>104.7</v>
      </c>
      <c r="Y8">
        <v>104.6</v>
      </c>
      <c r="Z8">
        <v>104</v>
      </c>
      <c r="AA8">
        <v>104.3</v>
      </c>
      <c r="AB8">
        <v>104.3</v>
      </c>
      <c r="AC8">
        <v>104.6</v>
      </c>
      <c r="AD8">
        <v>106</v>
      </c>
    </row>
    <row r="9" spans="1:30">
      <c r="A9" t="s">
        <v>33</v>
      </c>
      <c r="B9">
        <v>2013</v>
      </c>
      <c r="C9" t="s">
        <v>38</v>
      </c>
      <c r="D9">
        <v>113.9</v>
      </c>
      <c r="E9">
        <v>111.4</v>
      </c>
      <c r="F9">
        <v>113.2</v>
      </c>
      <c r="G9">
        <v>104.3</v>
      </c>
      <c r="H9">
        <v>102.7</v>
      </c>
      <c r="I9">
        <v>104.9</v>
      </c>
      <c r="J9">
        <v>103.8</v>
      </c>
      <c r="K9">
        <v>103.5</v>
      </c>
      <c r="L9">
        <v>102.6</v>
      </c>
      <c r="M9">
        <v>102.4</v>
      </c>
      <c r="N9">
        <v>107</v>
      </c>
      <c r="O9">
        <v>109.8</v>
      </c>
      <c r="P9">
        <v>107.3</v>
      </c>
      <c r="Q9">
        <v>106.8</v>
      </c>
      <c r="R9">
        <v>107.2</v>
      </c>
      <c r="S9">
        <v>106</v>
      </c>
      <c r="T9">
        <v>107</v>
      </c>
      <c r="U9" t="s">
        <v>37</v>
      </c>
      <c r="V9">
        <v>106</v>
      </c>
      <c r="W9">
        <v>105.7</v>
      </c>
      <c r="X9">
        <v>105.2</v>
      </c>
      <c r="Y9">
        <v>105.5</v>
      </c>
      <c r="Z9">
        <v>103.5</v>
      </c>
      <c r="AA9">
        <v>103.8</v>
      </c>
      <c r="AB9">
        <v>104.2</v>
      </c>
      <c r="AC9">
        <v>104.9</v>
      </c>
      <c r="AD9">
        <v>105</v>
      </c>
    </row>
    <row r="10" spans="1:30">
      <c r="A10" t="s">
        <v>35</v>
      </c>
      <c r="B10">
        <v>2013</v>
      </c>
      <c r="C10" t="s">
        <v>38</v>
      </c>
      <c r="D10">
        <v>111.4</v>
      </c>
      <c r="E10">
        <v>109.7</v>
      </c>
      <c r="F10">
        <v>111.2</v>
      </c>
      <c r="G10">
        <v>105.1</v>
      </c>
      <c r="H10">
        <v>104.9</v>
      </c>
      <c r="I10">
        <v>105.3</v>
      </c>
      <c r="J10">
        <v>102.2</v>
      </c>
      <c r="K10">
        <v>105</v>
      </c>
      <c r="L10">
        <v>104.2</v>
      </c>
      <c r="M10">
        <v>103</v>
      </c>
      <c r="N10">
        <v>106.2</v>
      </c>
      <c r="O10">
        <v>108.9</v>
      </c>
      <c r="P10">
        <v>106.9</v>
      </c>
      <c r="Q10">
        <v>106.6</v>
      </c>
      <c r="R10">
        <v>107.4</v>
      </c>
      <c r="S10">
        <v>106.5</v>
      </c>
      <c r="T10">
        <v>107.3</v>
      </c>
      <c r="U10" t="s">
        <v>37</v>
      </c>
      <c r="V10">
        <v>106.1</v>
      </c>
      <c r="W10">
        <v>105.6</v>
      </c>
      <c r="X10">
        <v>104.9</v>
      </c>
      <c r="Y10">
        <v>105.1</v>
      </c>
      <c r="Z10">
        <v>103.7</v>
      </c>
      <c r="AA10">
        <v>104</v>
      </c>
      <c r="AB10">
        <v>104.3</v>
      </c>
      <c r="AC10">
        <v>104.7</v>
      </c>
      <c r="AD10">
        <v>105.5</v>
      </c>
    </row>
    <row r="11" spans="1:30">
      <c r="A11" t="s">
        <v>30</v>
      </c>
      <c r="B11">
        <v>2013</v>
      </c>
      <c r="C11" t="s">
        <v>39</v>
      </c>
      <c r="D11">
        <v>110.2</v>
      </c>
      <c r="E11">
        <v>109.5</v>
      </c>
      <c r="F11">
        <v>106.9</v>
      </c>
      <c r="G11">
        <v>106.3</v>
      </c>
      <c r="H11">
        <v>105.7</v>
      </c>
      <c r="I11">
        <v>108.3</v>
      </c>
      <c r="J11">
        <v>103.4</v>
      </c>
      <c r="K11">
        <v>105.7</v>
      </c>
      <c r="L11">
        <v>104.2</v>
      </c>
      <c r="M11">
        <v>103.2</v>
      </c>
      <c r="N11">
        <v>106.5</v>
      </c>
      <c r="O11">
        <v>108.8</v>
      </c>
      <c r="P11">
        <v>107.1</v>
      </c>
      <c r="Q11">
        <v>107.1</v>
      </c>
      <c r="R11">
        <v>108.1</v>
      </c>
      <c r="S11">
        <v>107.4</v>
      </c>
      <c r="T11">
        <v>108</v>
      </c>
      <c r="U11" t="s">
        <v>32</v>
      </c>
      <c r="V11">
        <v>106.5</v>
      </c>
      <c r="W11">
        <v>106.1</v>
      </c>
      <c r="X11">
        <v>105.1</v>
      </c>
      <c r="Y11">
        <v>104.4</v>
      </c>
      <c r="Z11">
        <v>104.5</v>
      </c>
      <c r="AA11">
        <v>104.8</v>
      </c>
      <c r="AB11">
        <v>102.7</v>
      </c>
      <c r="AC11">
        <v>104.6</v>
      </c>
      <c r="AD11">
        <v>106.4</v>
      </c>
    </row>
    <row r="12" spans="1:30">
      <c r="A12" t="s">
        <v>33</v>
      </c>
      <c r="B12">
        <v>2013</v>
      </c>
      <c r="C12" t="s">
        <v>39</v>
      </c>
      <c r="D12">
        <v>114.6</v>
      </c>
      <c r="E12">
        <v>113.4</v>
      </c>
      <c r="F12">
        <v>106</v>
      </c>
      <c r="G12">
        <v>104.7</v>
      </c>
      <c r="H12">
        <v>102.1</v>
      </c>
      <c r="I12">
        <v>109.5</v>
      </c>
      <c r="J12">
        <v>109.7</v>
      </c>
      <c r="K12">
        <v>104.6</v>
      </c>
      <c r="L12">
        <v>102</v>
      </c>
      <c r="M12">
        <v>103.5</v>
      </c>
      <c r="N12">
        <v>108.2</v>
      </c>
      <c r="O12">
        <v>110.6</v>
      </c>
      <c r="P12">
        <v>108.8</v>
      </c>
      <c r="Q12">
        <v>108.5</v>
      </c>
      <c r="R12">
        <v>107.9</v>
      </c>
      <c r="S12">
        <v>106.4</v>
      </c>
      <c r="T12">
        <v>107.7</v>
      </c>
      <c r="U12" t="s">
        <v>40</v>
      </c>
      <c r="V12">
        <v>106.4</v>
      </c>
      <c r="W12">
        <v>106.5</v>
      </c>
      <c r="X12">
        <v>105.7</v>
      </c>
      <c r="Y12">
        <v>105</v>
      </c>
      <c r="Z12">
        <v>104</v>
      </c>
      <c r="AA12">
        <v>105.2</v>
      </c>
      <c r="AB12">
        <v>103.2</v>
      </c>
      <c r="AC12">
        <v>105.1</v>
      </c>
      <c r="AD12">
        <v>105.7</v>
      </c>
    </row>
    <row r="13" spans="1:30">
      <c r="A13" t="s">
        <v>35</v>
      </c>
      <c r="B13">
        <v>2013</v>
      </c>
      <c r="C13" t="s">
        <v>39</v>
      </c>
      <c r="D13">
        <v>111.6</v>
      </c>
      <c r="E13">
        <v>110.9</v>
      </c>
      <c r="F13">
        <v>106.6</v>
      </c>
      <c r="G13">
        <v>105.7</v>
      </c>
      <c r="H13">
        <v>104.4</v>
      </c>
      <c r="I13">
        <v>108.9</v>
      </c>
      <c r="J13">
        <v>105.5</v>
      </c>
      <c r="K13">
        <v>105.3</v>
      </c>
      <c r="L13">
        <v>103.5</v>
      </c>
      <c r="M13">
        <v>103.3</v>
      </c>
      <c r="N13">
        <v>107.2</v>
      </c>
      <c r="O13">
        <v>109.6</v>
      </c>
      <c r="P13">
        <v>107.7</v>
      </c>
      <c r="Q13">
        <v>107.5</v>
      </c>
      <c r="R13">
        <v>108</v>
      </c>
      <c r="S13">
        <v>107</v>
      </c>
      <c r="T13">
        <v>107.9</v>
      </c>
      <c r="U13" t="s">
        <v>40</v>
      </c>
      <c r="V13">
        <v>106.5</v>
      </c>
      <c r="W13">
        <v>106.3</v>
      </c>
      <c r="X13">
        <v>105.3</v>
      </c>
      <c r="Y13">
        <v>104.7</v>
      </c>
      <c r="Z13">
        <v>104.2</v>
      </c>
      <c r="AA13">
        <v>105</v>
      </c>
      <c r="AB13">
        <v>102.9</v>
      </c>
      <c r="AC13">
        <v>104.8</v>
      </c>
      <c r="AD13">
        <v>106.1</v>
      </c>
    </row>
    <row r="14" spans="1:30">
      <c r="A14" t="s">
        <v>30</v>
      </c>
      <c r="B14">
        <v>2013</v>
      </c>
      <c r="C14" t="s">
        <v>41</v>
      </c>
      <c r="D14">
        <v>110.9</v>
      </c>
      <c r="E14">
        <v>109.8</v>
      </c>
      <c r="F14">
        <v>105.9</v>
      </c>
      <c r="G14">
        <v>107.5</v>
      </c>
      <c r="H14">
        <v>105.3</v>
      </c>
      <c r="I14">
        <v>108.1</v>
      </c>
      <c r="J14">
        <v>107.3</v>
      </c>
      <c r="K14">
        <v>106.1</v>
      </c>
      <c r="L14">
        <v>103.7</v>
      </c>
      <c r="M14">
        <v>104</v>
      </c>
      <c r="N14">
        <v>107.4</v>
      </c>
      <c r="O14">
        <v>109.9</v>
      </c>
      <c r="P14">
        <v>108.1</v>
      </c>
      <c r="Q14">
        <v>108.1</v>
      </c>
      <c r="R14">
        <v>108.8</v>
      </c>
      <c r="S14">
        <v>107.9</v>
      </c>
      <c r="T14">
        <v>108.6</v>
      </c>
      <c r="U14" t="s">
        <v>32</v>
      </c>
      <c r="V14">
        <v>107.5</v>
      </c>
      <c r="W14">
        <v>106.8</v>
      </c>
      <c r="X14">
        <v>105.7</v>
      </c>
      <c r="Y14">
        <v>104.1</v>
      </c>
      <c r="Z14">
        <v>105</v>
      </c>
      <c r="AA14">
        <v>105.5</v>
      </c>
      <c r="AB14">
        <v>102.1</v>
      </c>
      <c r="AC14">
        <v>104.8</v>
      </c>
      <c r="AD14">
        <v>107.2</v>
      </c>
    </row>
    <row r="15" spans="1:30">
      <c r="A15" t="s">
        <v>33</v>
      </c>
      <c r="B15">
        <v>2013</v>
      </c>
      <c r="C15" t="s">
        <v>41</v>
      </c>
      <c r="D15">
        <v>115.4</v>
      </c>
      <c r="E15">
        <v>114.2</v>
      </c>
      <c r="F15">
        <v>102.7</v>
      </c>
      <c r="G15">
        <v>105.5</v>
      </c>
      <c r="H15">
        <v>101.5</v>
      </c>
      <c r="I15">
        <v>110.6</v>
      </c>
      <c r="J15">
        <v>123.7</v>
      </c>
      <c r="K15">
        <v>105.2</v>
      </c>
      <c r="L15">
        <v>101.9</v>
      </c>
      <c r="M15">
        <v>105</v>
      </c>
      <c r="N15">
        <v>109.1</v>
      </c>
      <c r="O15">
        <v>111.3</v>
      </c>
      <c r="P15">
        <v>111.1</v>
      </c>
      <c r="Q15">
        <v>109.8</v>
      </c>
      <c r="R15">
        <v>108.5</v>
      </c>
      <c r="S15">
        <v>106.7</v>
      </c>
      <c r="T15">
        <v>108.3</v>
      </c>
      <c r="U15" t="s">
        <v>40</v>
      </c>
      <c r="V15">
        <v>107.2</v>
      </c>
      <c r="W15">
        <v>107.1</v>
      </c>
      <c r="X15">
        <v>106.2</v>
      </c>
      <c r="Y15">
        <v>103.9</v>
      </c>
      <c r="Z15">
        <v>104.6</v>
      </c>
      <c r="AA15">
        <v>105.7</v>
      </c>
      <c r="AB15">
        <v>102.6</v>
      </c>
      <c r="AC15">
        <v>104.9</v>
      </c>
      <c r="AD15">
        <v>106.6</v>
      </c>
    </row>
    <row r="16" spans="1:30">
      <c r="A16" t="s">
        <v>35</v>
      </c>
      <c r="B16">
        <v>2013</v>
      </c>
      <c r="C16" t="s">
        <v>41</v>
      </c>
      <c r="D16">
        <v>112.3</v>
      </c>
      <c r="E16">
        <v>111.3</v>
      </c>
      <c r="F16">
        <v>104.7</v>
      </c>
      <c r="G16">
        <v>106.8</v>
      </c>
      <c r="H16">
        <v>103.9</v>
      </c>
      <c r="I16">
        <v>109.3</v>
      </c>
      <c r="J16">
        <v>112.9</v>
      </c>
      <c r="K16">
        <v>105.8</v>
      </c>
      <c r="L16">
        <v>103.1</v>
      </c>
      <c r="M16">
        <v>104.3</v>
      </c>
      <c r="N16">
        <v>108.1</v>
      </c>
      <c r="O16">
        <v>110.5</v>
      </c>
      <c r="P16">
        <v>109.2</v>
      </c>
      <c r="Q16">
        <v>108.6</v>
      </c>
      <c r="R16">
        <v>108.7</v>
      </c>
      <c r="S16">
        <v>107.4</v>
      </c>
      <c r="T16">
        <v>108.5</v>
      </c>
      <c r="U16" t="s">
        <v>40</v>
      </c>
      <c r="V16">
        <v>107.4</v>
      </c>
      <c r="W16">
        <v>106.9</v>
      </c>
      <c r="X16">
        <v>105.9</v>
      </c>
      <c r="Y16">
        <v>104</v>
      </c>
      <c r="Z16">
        <v>104.8</v>
      </c>
      <c r="AA16">
        <v>105.6</v>
      </c>
      <c r="AB16">
        <v>102.3</v>
      </c>
      <c r="AC16">
        <v>104.8</v>
      </c>
      <c r="AD16">
        <v>106.9</v>
      </c>
    </row>
    <row r="17" spans="1:30">
      <c r="A17" t="s">
        <v>30</v>
      </c>
      <c r="B17">
        <v>2013</v>
      </c>
      <c r="C17" t="s">
        <v>42</v>
      </c>
      <c r="D17">
        <v>112.3</v>
      </c>
      <c r="E17">
        <v>112.1</v>
      </c>
      <c r="F17">
        <v>108.1</v>
      </c>
      <c r="G17">
        <v>108.3</v>
      </c>
      <c r="H17">
        <v>105.9</v>
      </c>
      <c r="I17">
        <v>109.2</v>
      </c>
      <c r="J17">
        <v>118</v>
      </c>
      <c r="K17">
        <v>106.8</v>
      </c>
      <c r="L17">
        <v>104.1</v>
      </c>
      <c r="M17">
        <v>105.4</v>
      </c>
      <c r="N17">
        <v>108.2</v>
      </c>
      <c r="O17">
        <v>111</v>
      </c>
      <c r="P17">
        <v>110.6</v>
      </c>
      <c r="Q17">
        <v>109</v>
      </c>
      <c r="R17">
        <v>109.7</v>
      </c>
      <c r="S17">
        <v>108.8</v>
      </c>
      <c r="T17">
        <v>109.5</v>
      </c>
      <c r="U17" t="s">
        <v>32</v>
      </c>
      <c r="V17">
        <v>108.5</v>
      </c>
      <c r="W17">
        <v>107.5</v>
      </c>
      <c r="X17">
        <v>106.3</v>
      </c>
      <c r="Y17">
        <v>105</v>
      </c>
      <c r="Z17">
        <v>105.6</v>
      </c>
      <c r="AA17">
        <v>106.5</v>
      </c>
      <c r="AB17">
        <v>102.5</v>
      </c>
      <c r="AC17">
        <v>105.5</v>
      </c>
      <c r="AD17">
        <v>108.9</v>
      </c>
    </row>
    <row r="18" spans="1:30">
      <c r="A18" t="s">
        <v>33</v>
      </c>
      <c r="B18">
        <v>2013</v>
      </c>
      <c r="C18" t="s">
        <v>42</v>
      </c>
      <c r="D18">
        <v>117</v>
      </c>
      <c r="E18">
        <v>120.1</v>
      </c>
      <c r="F18">
        <v>112.5</v>
      </c>
      <c r="G18">
        <v>107.3</v>
      </c>
      <c r="H18">
        <v>101.3</v>
      </c>
      <c r="I18">
        <v>112.4</v>
      </c>
      <c r="J18">
        <v>143.6</v>
      </c>
      <c r="K18">
        <v>105.4</v>
      </c>
      <c r="L18">
        <v>101.4</v>
      </c>
      <c r="M18">
        <v>106.4</v>
      </c>
      <c r="N18">
        <v>110</v>
      </c>
      <c r="O18">
        <v>112.2</v>
      </c>
      <c r="P18">
        <v>115</v>
      </c>
      <c r="Q18">
        <v>110.9</v>
      </c>
      <c r="R18">
        <v>109.2</v>
      </c>
      <c r="S18">
        <v>107.2</v>
      </c>
      <c r="T18">
        <v>108.9</v>
      </c>
      <c r="U18" t="s">
        <v>43</v>
      </c>
      <c r="V18">
        <v>108</v>
      </c>
      <c r="W18">
        <v>107.7</v>
      </c>
      <c r="X18">
        <v>106.5</v>
      </c>
      <c r="Y18">
        <v>105.2</v>
      </c>
      <c r="Z18">
        <v>105.2</v>
      </c>
      <c r="AA18">
        <v>108.1</v>
      </c>
      <c r="AB18">
        <v>103.3</v>
      </c>
      <c r="AC18">
        <v>106.1</v>
      </c>
      <c r="AD18">
        <v>109.7</v>
      </c>
    </row>
    <row r="19" spans="1:30">
      <c r="A19" t="s">
        <v>35</v>
      </c>
      <c r="B19">
        <v>2013</v>
      </c>
      <c r="C19" t="s">
        <v>42</v>
      </c>
      <c r="D19">
        <v>113.8</v>
      </c>
      <c r="E19">
        <v>114.9</v>
      </c>
      <c r="F19">
        <v>109.8</v>
      </c>
      <c r="G19">
        <v>107.9</v>
      </c>
      <c r="H19">
        <v>104.2</v>
      </c>
      <c r="I19">
        <v>110.7</v>
      </c>
      <c r="J19">
        <v>126.7</v>
      </c>
      <c r="K19">
        <v>106.3</v>
      </c>
      <c r="L19">
        <v>103.2</v>
      </c>
      <c r="M19">
        <v>105.7</v>
      </c>
      <c r="N19">
        <v>109</v>
      </c>
      <c r="O19">
        <v>111.6</v>
      </c>
      <c r="P19">
        <v>112.2</v>
      </c>
      <c r="Q19">
        <v>109.5</v>
      </c>
      <c r="R19">
        <v>109.5</v>
      </c>
      <c r="S19">
        <v>108.1</v>
      </c>
      <c r="T19">
        <v>109.3</v>
      </c>
      <c r="U19" t="s">
        <v>43</v>
      </c>
      <c r="V19">
        <v>108.3</v>
      </c>
      <c r="W19">
        <v>107.6</v>
      </c>
      <c r="X19">
        <v>106.4</v>
      </c>
      <c r="Y19">
        <v>105.1</v>
      </c>
      <c r="Z19">
        <v>105.4</v>
      </c>
      <c r="AA19">
        <v>107.4</v>
      </c>
      <c r="AB19">
        <v>102.8</v>
      </c>
      <c r="AC19">
        <v>105.8</v>
      </c>
      <c r="AD19">
        <v>109.3</v>
      </c>
    </row>
    <row r="20" spans="1:30">
      <c r="A20" t="s">
        <v>30</v>
      </c>
      <c r="B20">
        <v>2013</v>
      </c>
      <c r="C20" t="s">
        <v>44</v>
      </c>
      <c r="D20">
        <v>113.4</v>
      </c>
      <c r="E20">
        <v>114.9</v>
      </c>
      <c r="F20">
        <v>110.5</v>
      </c>
      <c r="G20">
        <v>109.3</v>
      </c>
      <c r="H20">
        <v>106.2</v>
      </c>
      <c r="I20">
        <v>110.3</v>
      </c>
      <c r="J20">
        <v>129.19999999999999</v>
      </c>
      <c r="K20">
        <v>107.1</v>
      </c>
      <c r="L20">
        <v>104.3</v>
      </c>
      <c r="M20">
        <v>106.4</v>
      </c>
      <c r="N20">
        <v>109.1</v>
      </c>
      <c r="O20">
        <v>112.1</v>
      </c>
      <c r="P20">
        <v>113.1</v>
      </c>
      <c r="Q20">
        <v>109.8</v>
      </c>
      <c r="R20">
        <v>110.5</v>
      </c>
      <c r="S20">
        <v>109.5</v>
      </c>
      <c r="T20">
        <v>110.3</v>
      </c>
      <c r="U20" t="s">
        <v>32</v>
      </c>
      <c r="V20">
        <v>109.5</v>
      </c>
      <c r="W20">
        <v>108.3</v>
      </c>
      <c r="X20">
        <v>106.9</v>
      </c>
      <c r="Y20">
        <v>106.8</v>
      </c>
      <c r="Z20">
        <v>106.4</v>
      </c>
      <c r="AA20">
        <v>107.8</v>
      </c>
      <c r="AB20">
        <v>102.5</v>
      </c>
      <c r="AC20">
        <v>106.5</v>
      </c>
      <c r="AD20">
        <v>110.7</v>
      </c>
    </row>
    <row r="21" spans="1:30">
      <c r="A21" t="s">
        <v>33</v>
      </c>
      <c r="B21">
        <v>2013</v>
      </c>
      <c r="C21" t="s">
        <v>44</v>
      </c>
      <c r="D21">
        <v>117.8</v>
      </c>
      <c r="E21">
        <v>119.2</v>
      </c>
      <c r="F21">
        <v>114</v>
      </c>
      <c r="G21">
        <v>108.3</v>
      </c>
      <c r="H21">
        <v>101.1</v>
      </c>
      <c r="I21">
        <v>113.2</v>
      </c>
      <c r="J21">
        <v>160.9</v>
      </c>
      <c r="K21">
        <v>105.1</v>
      </c>
      <c r="L21">
        <v>101.3</v>
      </c>
      <c r="M21">
        <v>107.5</v>
      </c>
      <c r="N21">
        <v>110.4</v>
      </c>
      <c r="O21">
        <v>113.1</v>
      </c>
      <c r="P21">
        <v>117.5</v>
      </c>
      <c r="Q21">
        <v>111.7</v>
      </c>
      <c r="R21">
        <v>109.8</v>
      </c>
      <c r="S21">
        <v>107.8</v>
      </c>
      <c r="T21">
        <v>109.5</v>
      </c>
      <c r="U21" t="s">
        <v>45</v>
      </c>
      <c r="V21">
        <v>108.6</v>
      </c>
      <c r="W21">
        <v>108.1</v>
      </c>
      <c r="X21">
        <v>107.1</v>
      </c>
      <c r="Y21">
        <v>107.3</v>
      </c>
      <c r="Z21">
        <v>105.9</v>
      </c>
      <c r="AA21">
        <v>110.1</v>
      </c>
      <c r="AB21">
        <v>103.2</v>
      </c>
      <c r="AC21">
        <v>107.3</v>
      </c>
      <c r="AD21">
        <v>111.4</v>
      </c>
    </row>
    <row r="22" spans="1:30">
      <c r="A22" t="s">
        <v>35</v>
      </c>
      <c r="B22">
        <v>2013</v>
      </c>
      <c r="C22" t="s">
        <v>44</v>
      </c>
      <c r="D22">
        <v>114.8</v>
      </c>
      <c r="E22">
        <v>116.4</v>
      </c>
      <c r="F22">
        <v>111.9</v>
      </c>
      <c r="G22">
        <v>108.9</v>
      </c>
      <c r="H22">
        <v>104.3</v>
      </c>
      <c r="I22">
        <v>111.7</v>
      </c>
      <c r="J22">
        <v>140</v>
      </c>
      <c r="K22">
        <v>106.4</v>
      </c>
      <c r="L22">
        <v>103.3</v>
      </c>
      <c r="M22">
        <v>106.8</v>
      </c>
      <c r="N22">
        <v>109.6</v>
      </c>
      <c r="O22">
        <v>112.6</v>
      </c>
      <c r="P22">
        <v>114.7</v>
      </c>
      <c r="Q22">
        <v>110.3</v>
      </c>
      <c r="R22">
        <v>110.2</v>
      </c>
      <c r="S22">
        <v>108.8</v>
      </c>
      <c r="T22">
        <v>110</v>
      </c>
      <c r="U22" t="s">
        <v>45</v>
      </c>
      <c r="V22">
        <v>109.2</v>
      </c>
      <c r="W22">
        <v>108.2</v>
      </c>
      <c r="X22">
        <v>107</v>
      </c>
      <c r="Y22">
        <v>107.1</v>
      </c>
      <c r="Z22">
        <v>106.1</v>
      </c>
      <c r="AA22">
        <v>109.1</v>
      </c>
      <c r="AB22">
        <v>102.8</v>
      </c>
      <c r="AC22">
        <v>106.9</v>
      </c>
      <c r="AD22">
        <v>111</v>
      </c>
    </row>
    <row r="23" spans="1:30">
      <c r="A23" t="s">
        <v>30</v>
      </c>
      <c r="B23">
        <v>2013</v>
      </c>
      <c r="C23" t="s">
        <v>46</v>
      </c>
      <c r="D23">
        <v>114.3</v>
      </c>
      <c r="E23">
        <v>115.4</v>
      </c>
      <c r="F23">
        <v>111.1</v>
      </c>
      <c r="G23">
        <v>110</v>
      </c>
      <c r="H23">
        <v>106.4</v>
      </c>
      <c r="I23">
        <v>110.8</v>
      </c>
      <c r="J23">
        <v>138.9</v>
      </c>
      <c r="K23">
        <v>107.4</v>
      </c>
      <c r="L23">
        <v>104.1</v>
      </c>
      <c r="M23">
        <v>106.9</v>
      </c>
      <c r="N23">
        <v>109.7</v>
      </c>
      <c r="O23">
        <v>112.6</v>
      </c>
      <c r="P23">
        <v>114.9</v>
      </c>
      <c r="Q23">
        <v>110.7</v>
      </c>
      <c r="R23">
        <v>111.3</v>
      </c>
      <c r="S23">
        <v>110.2</v>
      </c>
      <c r="T23">
        <v>111.1</v>
      </c>
      <c r="U23" t="s">
        <v>32</v>
      </c>
      <c r="V23">
        <v>109.9</v>
      </c>
      <c r="W23">
        <v>108.7</v>
      </c>
      <c r="X23">
        <v>107.5</v>
      </c>
      <c r="Y23">
        <v>107.8</v>
      </c>
      <c r="Z23">
        <v>106.8</v>
      </c>
      <c r="AA23">
        <v>108.7</v>
      </c>
      <c r="AB23">
        <v>105</v>
      </c>
      <c r="AC23">
        <v>107.5</v>
      </c>
      <c r="AD23">
        <v>112.1</v>
      </c>
    </row>
    <row r="24" spans="1:30">
      <c r="A24" t="s">
        <v>33</v>
      </c>
      <c r="B24">
        <v>2013</v>
      </c>
      <c r="C24" t="s">
        <v>46</v>
      </c>
      <c r="D24">
        <v>118.3</v>
      </c>
      <c r="E24">
        <v>120.4</v>
      </c>
      <c r="F24">
        <v>112.7</v>
      </c>
      <c r="G24">
        <v>108.9</v>
      </c>
      <c r="H24">
        <v>101.1</v>
      </c>
      <c r="I24">
        <v>108.7</v>
      </c>
      <c r="J24">
        <v>177</v>
      </c>
      <c r="K24">
        <v>104.7</v>
      </c>
      <c r="L24">
        <v>101</v>
      </c>
      <c r="M24">
        <v>108.5</v>
      </c>
      <c r="N24">
        <v>110.9</v>
      </c>
      <c r="O24">
        <v>114.3</v>
      </c>
      <c r="P24">
        <v>119.6</v>
      </c>
      <c r="Q24">
        <v>112.4</v>
      </c>
      <c r="R24">
        <v>110.6</v>
      </c>
      <c r="S24">
        <v>108.3</v>
      </c>
      <c r="T24">
        <v>110.2</v>
      </c>
      <c r="U24" t="s">
        <v>47</v>
      </c>
      <c r="V24">
        <v>109.3</v>
      </c>
      <c r="W24">
        <v>108.7</v>
      </c>
      <c r="X24">
        <v>107.6</v>
      </c>
      <c r="Y24">
        <v>108.1</v>
      </c>
      <c r="Z24">
        <v>106.5</v>
      </c>
      <c r="AA24">
        <v>110.8</v>
      </c>
      <c r="AB24">
        <v>106</v>
      </c>
      <c r="AC24">
        <v>108.3</v>
      </c>
      <c r="AD24">
        <v>112.7</v>
      </c>
    </row>
    <row r="25" spans="1:30">
      <c r="A25" t="s">
        <v>35</v>
      </c>
      <c r="B25">
        <v>2013</v>
      </c>
      <c r="C25" t="s">
        <v>46</v>
      </c>
      <c r="D25">
        <v>115.6</v>
      </c>
      <c r="E25">
        <v>117.2</v>
      </c>
      <c r="F25">
        <v>111.7</v>
      </c>
      <c r="G25">
        <v>109.6</v>
      </c>
      <c r="H25">
        <v>104.5</v>
      </c>
      <c r="I25">
        <v>109.8</v>
      </c>
      <c r="J25">
        <v>151.80000000000001</v>
      </c>
      <c r="K25">
        <v>106.5</v>
      </c>
      <c r="L25">
        <v>103.1</v>
      </c>
      <c r="M25">
        <v>107.4</v>
      </c>
      <c r="N25">
        <v>110.2</v>
      </c>
      <c r="O25">
        <v>113.4</v>
      </c>
      <c r="P25">
        <v>116.6</v>
      </c>
      <c r="Q25">
        <v>111.2</v>
      </c>
      <c r="R25">
        <v>111</v>
      </c>
      <c r="S25">
        <v>109.4</v>
      </c>
      <c r="T25">
        <v>110.7</v>
      </c>
      <c r="U25" t="s">
        <v>47</v>
      </c>
      <c r="V25">
        <v>109.7</v>
      </c>
      <c r="W25">
        <v>108.7</v>
      </c>
      <c r="X25">
        <v>107.5</v>
      </c>
      <c r="Y25">
        <v>108</v>
      </c>
      <c r="Z25">
        <v>106.6</v>
      </c>
      <c r="AA25">
        <v>109.9</v>
      </c>
      <c r="AB25">
        <v>105.4</v>
      </c>
      <c r="AC25">
        <v>107.9</v>
      </c>
      <c r="AD25">
        <v>112.4</v>
      </c>
    </row>
    <row r="26" spans="1:30">
      <c r="A26" t="s">
        <v>30</v>
      </c>
      <c r="B26">
        <v>2013</v>
      </c>
      <c r="C26" t="s">
        <v>48</v>
      </c>
      <c r="D26">
        <v>115.4</v>
      </c>
      <c r="E26">
        <v>115.7</v>
      </c>
      <c r="F26">
        <v>111.7</v>
      </c>
      <c r="G26">
        <v>111</v>
      </c>
      <c r="H26">
        <v>107.4</v>
      </c>
      <c r="I26">
        <v>110.9</v>
      </c>
      <c r="J26">
        <v>154</v>
      </c>
      <c r="K26">
        <v>108.1</v>
      </c>
      <c r="L26">
        <v>104.2</v>
      </c>
      <c r="M26">
        <v>107.9</v>
      </c>
      <c r="N26">
        <v>110.4</v>
      </c>
      <c r="O26">
        <v>114</v>
      </c>
      <c r="P26">
        <v>117.8</v>
      </c>
      <c r="Q26">
        <v>111.7</v>
      </c>
      <c r="R26">
        <v>112.7</v>
      </c>
      <c r="S26">
        <v>111.4</v>
      </c>
      <c r="T26">
        <v>112.5</v>
      </c>
      <c r="U26" t="s">
        <v>32</v>
      </c>
      <c r="V26">
        <v>111.1</v>
      </c>
      <c r="W26">
        <v>109.6</v>
      </c>
      <c r="X26">
        <v>108.3</v>
      </c>
      <c r="Y26">
        <v>109.3</v>
      </c>
      <c r="Z26">
        <v>107.7</v>
      </c>
      <c r="AA26">
        <v>109.8</v>
      </c>
      <c r="AB26">
        <v>106.7</v>
      </c>
      <c r="AC26">
        <v>108.7</v>
      </c>
      <c r="AD26">
        <v>114.2</v>
      </c>
    </row>
    <row r="27" spans="1:30">
      <c r="A27" t="s">
        <v>33</v>
      </c>
      <c r="B27">
        <v>2013</v>
      </c>
      <c r="C27" t="s">
        <v>48</v>
      </c>
      <c r="D27">
        <v>118.6</v>
      </c>
      <c r="E27">
        <v>119.1</v>
      </c>
      <c r="F27">
        <v>113.2</v>
      </c>
      <c r="G27">
        <v>109.6</v>
      </c>
      <c r="H27">
        <v>101.7</v>
      </c>
      <c r="I27">
        <v>103.2</v>
      </c>
      <c r="J27">
        <v>174.3</v>
      </c>
      <c r="K27">
        <v>105.1</v>
      </c>
      <c r="L27">
        <v>100.8</v>
      </c>
      <c r="M27">
        <v>109.1</v>
      </c>
      <c r="N27">
        <v>111.1</v>
      </c>
      <c r="O27">
        <v>115.4</v>
      </c>
      <c r="P27">
        <v>119.2</v>
      </c>
      <c r="Q27">
        <v>112.9</v>
      </c>
      <c r="R27">
        <v>111.4</v>
      </c>
      <c r="S27">
        <v>109</v>
      </c>
      <c r="T27">
        <v>111.1</v>
      </c>
      <c r="U27" t="s">
        <v>49</v>
      </c>
      <c r="V27">
        <v>109.5</v>
      </c>
      <c r="W27">
        <v>109.6</v>
      </c>
      <c r="X27">
        <v>107.9</v>
      </c>
      <c r="Y27">
        <v>110.4</v>
      </c>
      <c r="Z27">
        <v>107.4</v>
      </c>
      <c r="AA27">
        <v>111.2</v>
      </c>
      <c r="AB27">
        <v>106.9</v>
      </c>
      <c r="AC27">
        <v>109.4</v>
      </c>
      <c r="AD27">
        <v>113.2</v>
      </c>
    </row>
    <row r="28" spans="1:30">
      <c r="A28" t="s">
        <v>35</v>
      </c>
      <c r="B28">
        <v>2013</v>
      </c>
      <c r="C28" t="s">
        <v>48</v>
      </c>
      <c r="D28">
        <v>116.4</v>
      </c>
      <c r="E28">
        <v>116.9</v>
      </c>
      <c r="F28">
        <v>112.3</v>
      </c>
      <c r="G28">
        <v>110.5</v>
      </c>
      <c r="H28">
        <v>105.3</v>
      </c>
      <c r="I28">
        <v>107.3</v>
      </c>
      <c r="J28">
        <v>160.9</v>
      </c>
      <c r="K28">
        <v>107.1</v>
      </c>
      <c r="L28">
        <v>103.1</v>
      </c>
      <c r="M28">
        <v>108.3</v>
      </c>
      <c r="N28">
        <v>110.7</v>
      </c>
      <c r="O28">
        <v>114.6</v>
      </c>
      <c r="P28">
        <v>118.3</v>
      </c>
      <c r="Q28">
        <v>112</v>
      </c>
      <c r="R28">
        <v>112.2</v>
      </c>
      <c r="S28">
        <v>110.4</v>
      </c>
      <c r="T28">
        <v>111.9</v>
      </c>
      <c r="U28" t="s">
        <v>49</v>
      </c>
      <c r="V28">
        <v>110.5</v>
      </c>
      <c r="W28">
        <v>109.6</v>
      </c>
      <c r="X28">
        <v>108.1</v>
      </c>
      <c r="Y28">
        <v>109.9</v>
      </c>
      <c r="Z28">
        <v>107.5</v>
      </c>
      <c r="AA28">
        <v>110.6</v>
      </c>
      <c r="AB28">
        <v>106.8</v>
      </c>
      <c r="AC28">
        <v>109</v>
      </c>
      <c r="AD28">
        <v>113.7</v>
      </c>
    </row>
    <row r="29" spans="1:30">
      <c r="A29" t="s">
        <v>30</v>
      </c>
      <c r="B29">
        <v>2013</v>
      </c>
      <c r="C29" t="s">
        <v>50</v>
      </c>
      <c r="D29">
        <v>116.3</v>
      </c>
      <c r="E29">
        <v>115.4</v>
      </c>
      <c r="F29">
        <v>112.6</v>
      </c>
      <c r="G29">
        <v>111.7</v>
      </c>
      <c r="H29">
        <v>107.7</v>
      </c>
      <c r="I29">
        <v>113.2</v>
      </c>
      <c r="J29">
        <v>164.9</v>
      </c>
      <c r="K29">
        <v>108.3</v>
      </c>
      <c r="L29">
        <v>103.9</v>
      </c>
      <c r="M29">
        <v>108.2</v>
      </c>
      <c r="N29">
        <v>111.1</v>
      </c>
      <c r="O29">
        <v>114.9</v>
      </c>
      <c r="P29">
        <v>119.8</v>
      </c>
      <c r="Q29">
        <v>112.2</v>
      </c>
      <c r="R29">
        <v>113.6</v>
      </c>
      <c r="S29">
        <v>112.3</v>
      </c>
      <c r="T29">
        <v>113.4</v>
      </c>
      <c r="U29" t="s">
        <v>32</v>
      </c>
      <c r="V29">
        <v>111.6</v>
      </c>
      <c r="W29">
        <v>110.4</v>
      </c>
      <c r="X29">
        <v>108.9</v>
      </c>
      <c r="Y29">
        <v>109.3</v>
      </c>
      <c r="Z29">
        <v>108.3</v>
      </c>
      <c r="AA29">
        <v>110.2</v>
      </c>
      <c r="AB29">
        <v>107.5</v>
      </c>
      <c r="AC29">
        <v>109.1</v>
      </c>
      <c r="AD29">
        <v>115.5</v>
      </c>
    </row>
    <row r="30" spans="1:30">
      <c r="A30" t="s">
        <v>33</v>
      </c>
      <c r="B30">
        <v>2013</v>
      </c>
      <c r="C30" t="s">
        <v>50</v>
      </c>
      <c r="D30">
        <v>118.9</v>
      </c>
      <c r="E30">
        <v>118.1</v>
      </c>
      <c r="F30">
        <v>114.5</v>
      </c>
      <c r="G30">
        <v>110.4</v>
      </c>
      <c r="H30">
        <v>102.3</v>
      </c>
      <c r="I30">
        <v>106.2</v>
      </c>
      <c r="J30">
        <v>183.5</v>
      </c>
      <c r="K30">
        <v>105.3</v>
      </c>
      <c r="L30">
        <v>100.2</v>
      </c>
      <c r="M30">
        <v>109.6</v>
      </c>
      <c r="N30">
        <v>111.4</v>
      </c>
      <c r="O30">
        <v>116</v>
      </c>
      <c r="P30">
        <v>120.8</v>
      </c>
      <c r="Q30">
        <v>113.5</v>
      </c>
      <c r="R30">
        <v>112.5</v>
      </c>
      <c r="S30">
        <v>109.7</v>
      </c>
      <c r="T30">
        <v>112</v>
      </c>
      <c r="U30" t="s">
        <v>51</v>
      </c>
      <c r="V30">
        <v>109.7</v>
      </c>
      <c r="W30">
        <v>110.2</v>
      </c>
      <c r="X30">
        <v>108.2</v>
      </c>
      <c r="Y30">
        <v>109.7</v>
      </c>
      <c r="Z30">
        <v>108</v>
      </c>
      <c r="AA30">
        <v>111.3</v>
      </c>
      <c r="AB30">
        <v>107.3</v>
      </c>
      <c r="AC30">
        <v>109.4</v>
      </c>
      <c r="AD30">
        <v>114</v>
      </c>
    </row>
    <row r="31" spans="1:30">
      <c r="A31" t="s">
        <v>35</v>
      </c>
      <c r="B31">
        <v>2013</v>
      </c>
      <c r="C31" t="s">
        <v>50</v>
      </c>
      <c r="D31">
        <v>117.1</v>
      </c>
      <c r="E31">
        <v>116.3</v>
      </c>
      <c r="F31">
        <v>113.3</v>
      </c>
      <c r="G31">
        <v>111.2</v>
      </c>
      <c r="H31">
        <v>105.7</v>
      </c>
      <c r="I31">
        <v>109.9</v>
      </c>
      <c r="J31">
        <v>171.2</v>
      </c>
      <c r="K31">
        <v>107.3</v>
      </c>
      <c r="L31">
        <v>102.7</v>
      </c>
      <c r="M31">
        <v>108.7</v>
      </c>
      <c r="N31">
        <v>111.2</v>
      </c>
      <c r="O31">
        <v>115.4</v>
      </c>
      <c r="P31">
        <v>120.2</v>
      </c>
      <c r="Q31">
        <v>112.5</v>
      </c>
      <c r="R31">
        <v>113.2</v>
      </c>
      <c r="S31">
        <v>111.2</v>
      </c>
      <c r="T31">
        <v>112.8</v>
      </c>
      <c r="U31" t="s">
        <v>51</v>
      </c>
      <c r="V31">
        <v>110.9</v>
      </c>
      <c r="W31">
        <v>110.3</v>
      </c>
      <c r="X31">
        <v>108.6</v>
      </c>
      <c r="Y31">
        <v>109.5</v>
      </c>
      <c r="Z31">
        <v>108.1</v>
      </c>
      <c r="AA31">
        <v>110.8</v>
      </c>
      <c r="AB31">
        <v>107.4</v>
      </c>
      <c r="AC31">
        <v>109.2</v>
      </c>
      <c r="AD31">
        <v>114.8</v>
      </c>
    </row>
    <row r="32" spans="1:30">
      <c r="A32" t="s">
        <v>30</v>
      </c>
      <c r="B32">
        <v>2013</v>
      </c>
      <c r="C32" t="s">
        <v>52</v>
      </c>
      <c r="D32">
        <v>117.3</v>
      </c>
      <c r="E32">
        <v>114.9</v>
      </c>
      <c r="F32">
        <v>116.2</v>
      </c>
      <c r="G32">
        <v>112.8</v>
      </c>
      <c r="H32">
        <v>108.9</v>
      </c>
      <c r="I32">
        <v>116.6</v>
      </c>
      <c r="J32">
        <v>178.1</v>
      </c>
      <c r="K32">
        <v>109.1</v>
      </c>
      <c r="L32">
        <v>103.6</v>
      </c>
      <c r="M32">
        <v>109</v>
      </c>
      <c r="N32">
        <v>111.8</v>
      </c>
      <c r="O32">
        <v>116</v>
      </c>
      <c r="P32">
        <v>122.5</v>
      </c>
      <c r="Q32">
        <v>112.8</v>
      </c>
      <c r="R32">
        <v>114.6</v>
      </c>
      <c r="S32">
        <v>113.1</v>
      </c>
      <c r="T32">
        <v>114.4</v>
      </c>
      <c r="U32" t="s">
        <v>32</v>
      </c>
      <c r="V32">
        <v>112.6</v>
      </c>
      <c r="W32">
        <v>111.3</v>
      </c>
      <c r="X32">
        <v>109.7</v>
      </c>
      <c r="Y32">
        <v>109.6</v>
      </c>
      <c r="Z32">
        <v>108.7</v>
      </c>
      <c r="AA32">
        <v>111</v>
      </c>
      <c r="AB32">
        <v>108.2</v>
      </c>
      <c r="AC32">
        <v>109.8</v>
      </c>
      <c r="AD32">
        <v>117.4</v>
      </c>
    </row>
    <row r="33" spans="1:30">
      <c r="A33" t="s">
        <v>33</v>
      </c>
      <c r="B33">
        <v>2013</v>
      </c>
      <c r="C33" t="s">
        <v>53</v>
      </c>
      <c r="D33">
        <v>119.8</v>
      </c>
      <c r="E33">
        <v>116.3</v>
      </c>
      <c r="F33">
        <v>122.6</v>
      </c>
      <c r="G33">
        <v>112</v>
      </c>
      <c r="H33">
        <v>103.2</v>
      </c>
      <c r="I33">
        <v>110</v>
      </c>
      <c r="J33">
        <v>192.8</v>
      </c>
      <c r="K33">
        <v>106.3</v>
      </c>
      <c r="L33">
        <v>99.5</v>
      </c>
      <c r="M33">
        <v>110.3</v>
      </c>
      <c r="N33">
        <v>111.8</v>
      </c>
      <c r="O33">
        <v>117.1</v>
      </c>
      <c r="P33">
        <v>122.9</v>
      </c>
      <c r="Q33">
        <v>114.1</v>
      </c>
      <c r="R33">
        <v>113.5</v>
      </c>
      <c r="S33">
        <v>110.3</v>
      </c>
      <c r="T33">
        <v>113</v>
      </c>
      <c r="U33" t="s">
        <v>54</v>
      </c>
      <c r="V33">
        <v>110</v>
      </c>
      <c r="W33">
        <v>110.9</v>
      </c>
      <c r="X33">
        <v>108.6</v>
      </c>
      <c r="Y33">
        <v>109.5</v>
      </c>
      <c r="Z33">
        <v>108.5</v>
      </c>
      <c r="AA33">
        <v>111.3</v>
      </c>
      <c r="AB33">
        <v>107.9</v>
      </c>
      <c r="AC33">
        <v>109.6</v>
      </c>
      <c r="AD33">
        <v>115</v>
      </c>
    </row>
    <row r="34" spans="1:30">
      <c r="A34" t="s">
        <v>35</v>
      </c>
      <c r="B34">
        <v>2013</v>
      </c>
      <c r="C34" t="s">
        <v>53</v>
      </c>
      <c r="D34">
        <v>118.1</v>
      </c>
      <c r="E34">
        <v>115.4</v>
      </c>
      <c r="F34">
        <v>118.7</v>
      </c>
      <c r="G34">
        <v>112.5</v>
      </c>
      <c r="H34">
        <v>106.8</v>
      </c>
      <c r="I34">
        <v>113.5</v>
      </c>
      <c r="J34">
        <v>183.1</v>
      </c>
      <c r="K34">
        <v>108.2</v>
      </c>
      <c r="L34">
        <v>102.2</v>
      </c>
      <c r="M34">
        <v>109.4</v>
      </c>
      <c r="N34">
        <v>111.8</v>
      </c>
      <c r="O34">
        <v>116.5</v>
      </c>
      <c r="P34">
        <v>122.6</v>
      </c>
      <c r="Q34">
        <v>113.1</v>
      </c>
      <c r="R34">
        <v>114.2</v>
      </c>
      <c r="S34">
        <v>111.9</v>
      </c>
      <c r="T34">
        <v>113.8</v>
      </c>
      <c r="U34" t="s">
        <v>54</v>
      </c>
      <c r="V34">
        <v>111.6</v>
      </c>
      <c r="W34">
        <v>111.1</v>
      </c>
      <c r="X34">
        <v>109.3</v>
      </c>
      <c r="Y34">
        <v>109.5</v>
      </c>
      <c r="Z34">
        <v>108.6</v>
      </c>
      <c r="AA34">
        <v>111.2</v>
      </c>
      <c r="AB34">
        <v>108.1</v>
      </c>
      <c r="AC34">
        <v>109.7</v>
      </c>
      <c r="AD34">
        <v>116.3</v>
      </c>
    </row>
    <row r="35" spans="1:30">
      <c r="A35" t="s">
        <v>30</v>
      </c>
      <c r="B35">
        <v>2013</v>
      </c>
      <c r="C35" t="s">
        <v>55</v>
      </c>
      <c r="D35">
        <v>118.4</v>
      </c>
      <c r="E35">
        <v>115.9</v>
      </c>
      <c r="F35">
        <v>120.4</v>
      </c>
      <c r="G35">
        <v>113.8</v>
      </c>
      <c r="H35">
        <v>109.5</v>
      </c>
      <c r="I35">
        <v>115.5</v>
      </c>
      <c r="J35">
        <v>145.69999999999999</v>
      </c>
      <c r="K35">
        <v>109.5</v>
      </c>
      <c r="L35">
        <v>102.9</v>
      </c>
      <c r="M35">
        <v>109.8</v>
      </c>
      <c r="N35">
        <v>112.1</v>
      </c>
      <c r="O35">
        <v>116.8</v>
      </c>
      <c r="P35">
        <v>118.7</v>
      </c>
      <c r="Q35">
        <v>113.6</v>
      </c>
      <c r="R35">
        <v>115.8</v>
      </c>
      <c r="S35">
        <v>114</v>
      </c>
      <c r="T35">
        <v>115.5</v>
      </c>
      <c r="U35" t="s">
        <v>32</v>
      </c>
      <c r="V35">
        <v>112.8</v>
      </c>
      <c r="W35">
        <v>112.1</v>
      </c>
      <c r="X35">
        <v>110.1</v>
      </c>
      <c r="Y35">
        <v>109.9</v>
      </c>
      <c r="Z35">
        <v>109.2</v>
      </c>
      <c r="AA35">
        <v>111.6</v>
      </c>
      <c r="AB35">
        <v>108.1</v>
      </c>
      <c r="AC35">
        <v>110.1</v>
      </c>
      <c r="AD35">
        <v>115.5</v>
      </c>
    </row>
    <row r="36" spans="1:30">
      <c r="A36" t="s">
        <v>33</v>
      </c>
      <c r="B36">
        <v>2013</v>
      </c>
      <c r="C36" t="s">
        <v>55</v>
      </c>
      <c r="D36">
        <v>120.5</v>
      </c>
      <c r="E36">
        <v>118.1</v>
      </c>
      <c r="F36">
        <v>128.5</v>
      </c>
      <c r="G36">
        <v>112.8</v>
      </c>
      <c r="H36">
        <v>103.4</v>
      </c>
      <c r="I36">
        <v>110.7</v>
      </c>
      <c r="J36">
        <v>144.80000000000001</v>
      </c>
      <c r="K36">
        <v>107.1</v>
      </c>
      <c r="L36">
        <v>98.6</v>
      </c>
      <c r="M36">
        <v>111.9</v>
      </c>
      <c r="N36">
        <v>112.1</v>
      </c>
      <c r="O36">
        <v>118.1</v>
      </c>
      <c r="P36">
        <v>117.8</v>
      </c>
      <c r="Q36">
        <v>115</v>
      </c>
      <c r="R36">
        <v>114.2</v>
      </c>
      <c r="S36">
        <v>110.9</v>
      </c>
      <c r="T36">
        <v>113.7</v>
      </c>
      <c r="U36" t="s">
        <v>56</v>
      </c>
      <c r="V36">
        <v>110.4</v>
      </c>
      <c r="W36">
        <v>111.3</v>
      </c>
      <c r="X36">
        <v>109</v>
      </c>
      <c r="Y36">
        <v>109.7</v>
      </c>
      <c r="Z36">
        <v>108.9</v>
      </c>
      <c r="AA36">
        <v>111.4</v>
      </c>
      <c r="AB36">
        <v>107.7</v>
      </c>
      <c r="AC36">
        <v>109.8</v>
      </c>
      <c r="AD36">
        <v>113.3</v>
      </c>
    </row>
    <row r="37" spans="1:30">
      <c r="A37" t="s">
        <v>35</v>
      </c>
      <c r="B37">
        <v>2013</v>
      </c>
      <c r="C37" t="s">
        <v>55</v>
      </c>
      <c r="D37">
        <v>119.1</v>
      </c>
      <c r="E37">
        <v>116.7</v>
      </c>
      <c r="F37">
        <v>123.5</v>
      </c>
      <c r="G37">
        <v>113.4</v>
      </c>
      <c r="H37">
        <v>107.3</v>
      </c>
      <c r="I37">
        <v>113.3</v>
      </c>
      <c r="J37">
        <v>145.4</v>
      </c>
      <c r="K37">
        <v>108.7</v>
      </c>
      <c r="L37">
        <v>101.5</v>
      </c>
      <c r="M37">
        <v>110.5</v>
      </c>
      <c r="N37">
        <v>112.1</v>
      </c>
      <c r="O37">
        <v>117.4</v>
      </c>
      <c r="P37">
        <v>118.4</v>
      </c>
      <c r="Q37">
        <v>114</v>
      </c>
      <c r="R37">
        <v>115.2</v>
      </c>
      <c r="S37">
        <v>112.7</v>
      </c>
      <c r="T37">
        <v>114.8</v>
      </c>
      <c r="U37" t="s">
        <v>56</v>
      </c>
      <c r="V37">
        <v>111.9</v>
      </c>
      <c r="W37">
        <v>111.7</v>
      </c>
      <c r="X37">
        <v>109.7</v>
      </c>
      <c r="Y37">
        <v>109.8</v>
      </c>
      <c r="Z37">
        <v>109</v>
      </c>
      <c r="AA37">
        <v>111.5</v>
      </c>
      <c r="AB37">
        <v>107.9</v>
      </c>
      <c r="AC37">
        <v>110</v>
      </c>
      <c r="AD37">
        <v>114.5</v>
      </c>
    </row>
    <row r="38" spans="1:30">
      <c r="A38" t="s">
        <v>30</v>
      </c>
      <c r="B38">
        <v>2014</v>
      </c>
      <c r="C38" t="s">
        <v>31</v>
      </c>
      <c r="D38">
        <v>118.9</v>
      </c>
      <c r="E38">
        <v>117.1</v>
      </c>
      <c r="F38">
        <v>120.5</v>
      </c>
      <c r="G38">
        <v>114.4</v>
      </c>
      <c r="H38">
        <v>109</v>
      </c>
      <c r="I38">
        <v>115.5</v>
      </c>
      <c r="J38">
        <v>123.9</v>
      </c>
      <c r="K38">
        <v>109.6</v>
      </c>
      <c r="L38">
        <v>101.8</v>
      </c>
      <c r="M38">
        <v>110.2</v>
      </c>
      <c r="N38">
        <v>112.4</v>
      </c>
      <c r="O38">
        <v>117.3</v>
      </c>
      <c r="P38">
        <v>116</v>
      </c>
      <c r="Q38">
        <v>114</v>
      </c>
      <c r="R38">
        <v>116.5</v>
      </c>
      <c r="S38">
        <v>114.5</v>
      </c>
      <c r="T38">
        <v>116.2</v>
      </c>
      <c r="U38" t="s">
        <v>32</v>
      </c>
      <c r="V38">
        <v>113</v>
      </c>
      <c r="W38">
        <v>112.6</v>
      </c>
      <c r="X38">
        <v>110.6</v>
      </c>
      <c r="Y38">
        <v>110.5</v>
      </c>
      <c r="Z38">
        <v>109.6</v>
      </c>
      <c r="AA38">
        <v>111.8</v>
      </c>
      <c r="AB38">
        <v>108.3</v>
      </c>
      <c r="AC38">
        <v>110.6</v>
      </c>
      <c r="AD38">
        <v>114.2</v>
      </c>
    </row>
    <row r="39" spans="1:30">
      <c r="A39" t="s">
        <v>33</v>
      </c>
      <c r="B39">
        <v>2014</v>
      </c>
      <c r="C39" t="s">
        <v>31</v>
      </c>
      <c r="D39">
        <v>121.2</v>
      </c>
      <c r="E39">
        <v>122</v>
      </c>
      <c r="F39">
        <v>129.9</v>
      </c>
      <c r="G39">
        <v>113.6</v>
      </c>
      <c r="H39">
        <v>102.9</v>
      </c>
      <c r="I39">
        <v>112.1</v>
      </c>
      <c r="J39">
        <v>118.9</v>
      </c>
      <c r="K39">
        <v>107.5</v>
      </c>
      <c r="L39">
        <v>96.9</v>
      </c>
      <c r="M39">
        <v>112.7</v>
      </c>
      <c r="N39">
        <v>112.1</v>
      </c>
      <c r="O39">
        <v>119</v>
      </c>
      <c r="P39">
        <v>115.5</v>
      </c>
      <c r="Q39">
        <v>115.7</v>
      </c>
      <c r="R39">
        <v>114.8</v>
      </c>
      <c r="S39">
        <v>111.3</v>
      </c>
      <c r="T39">
        <v>114.3</v>
      </c>
      <c r="U39" t="s">
        <v>57</v>
      </c>
      <c r="V39">
        <v>111</v>
      </c>
      <c r="W39">
        <v>111.9</v>
      </c>
      <c r="X39">
        <v>109.7</v>
      </c>
      <c r="Y39">
        <v>110.8</v>
      </c>
      <c r="Z39">
        <v>109.8</v>
      </c>
      <c r="AA39">
        <v>111.5</v>
      </c>
      <c r="AB39">
        <v>108</v>
      </c>
      <c r="AC39">
        <v>110.5</v>
      </c>
      <c r="AD39">
        <v>112.9</v>
      </c>
    </row>
    <row r="40" spans="1:30">
      <c r="A40" t="s">
        <v>35</v>
      </c>
      <c r="B40">
        <v>2014</v>
      </c>
      <c r="C40" t="s">
        <v>31</v>
      </c>
      <c r="D40">
        <v>119.6</v>
      </c>
      <c r="E40">
        <v>118.8</v>
      </c>
      <c r="F40">
        <v>124.1</v>
      </c>
      <c r="G40">
        <v>114.1</v>
      </c>
      <c r="H40">
        <v>106.8</v>
      </c>
      <c r="I40">
        <v>113.9</v>
      </c>
      <c r="J40">
        <v>122.2</v>
      </c>
      <c r="K40">
        <v>108.9</v>
      </c>
      <c r="L40">
        <v>100.2</v>
      </c>
      <c r="M40">
        <v>111</v>
      </c>
      <c r="N40">
        <v>112.3</v>
      </c>
      <c r="O40">
        <v>118.1</v>
      </c>
      <c r="P40">
        <v>115.8</v>
      </c>
      <c r="Q40">
        <v>114.5</v>
      </c>
      <c r="R40">
        <v>115.8</v>
      </c>
      <c r="S40">
        <v>113.2</v>
      </c>
      <c r="T40">
        <v>115.4</v>
      </c>
      <c r="U40" t="s">
        <v>57</v>
      </c>
      <c r="V40">
        <v>112.2</v>
      </c>
      <c r="W40">
        <v>112.3</v>
      </c>
      <c r="X40">
        <v>110.3</v>
      </c>
      <c r="Y40">
        <v>110.7</v>
      </c>
      <c r="Z40">
        <v>109.7</v>
      </c>
      <c r="AA40">
        <v>111.6</v>
      </c>
      <c r="AB40">
        <v>108.2</v>
      </c>
      <c r="AC40">
        <v>110.6</v>
      </c>
      <c r="AD40">
        <v>113.6</v>
      </c>
    </row>
    <row r="41" spans="1:30">
      <c r="A41" t="s">
        <v>30</v>
      </c>
      <c r="B41">
        <v>2014</v>
      </c>
      <c r="C41" t="s">
        <v>36</v>
      </c>
      <c r="D41">
        <v>119.4</v>
      </c>
      <c r="E41">
        <v>117.7</v>
      </c>
      <c r="F41">
        <v>121.2</v>
      </c>
      <c r="G41">
        <v>115</v>
      </c>
      <c r="H41">
        <v>109</v>
      </c>
      <c r="I41">
        <v>116.6</v>
      </c>
      <c r="J41">
        <v>116</v>
      </c>
      <c r="K41">
        <v>109.8</v>
      </c>
      <c r="L41">
        <v>101.1</v>
      </c>
      <c r="M41">
        <v>110.4</v>
      </c>
      <c r="N41">
        <v>112.9</v>
      </c>
      <c r="O41">
        <v>117.8</v>
      </c>
      <c r="P41">
        <v>115.3</v>
      </c>
      <c r="Q41">
        <v>114.2</v>
      </c>
      <c r="R41">
        <v>117.1</v>
      </c>
      <c r="S41">
        <v>114.5</v>
      </c>
      <c r="T41">
        <v>116.7</v>
      </c>
      <c r="U41" t="s">
        <v>32</v>
      </c>
      <c r="V41">
        <v>113.2</v>
      </c>
      <c r="W41">
        <v>112.9</v>
      </c>
      <c r="X41">
        <v>110.9</v>
      </c>
      <c r="Y41">
        <v>110.8</v>
      </c>
      <c r="Z41">
        <v>109.9</v>
      </c>
      <c r="AA41">
        <v>112</v>
      </c>
      <c r="AB41">
        <v>108.7</v>
      </c>
      <c r="AC41">
        <v>110.9</v>
      </c>
      <c r="AD41">
        <v>114</v>
      </c>
    </row>
    <row r="42" spans="1:30">
      <c r="A42" t="s">
        <v>33</v>
      </c>
      <c r="B42">
        <v>2014</v>
      </c>
      <c r="C42" t="s">
        <v>36</v>
      </c>
      <c r="D42">
        <v>121.9</v>
      </c>
      <c r="E42">
        <v>122</v>
      </c>
      <c r="F42">
        <v>124.5</v>
      </c>
      <c r="G42">
        <v>115.2</v>
      </c>
      <c r="H42">
        <v>102.5</v>
      </c>
      <c r="I42">
        <v>114.1</v>
      </c>
      <c r="J42">
        <v>111.5</v>
      </c>
      <c r="K42">
        <v>108.2</v>
      </c>
      <c r="L42">
        <v>95.4</v>
      </c>
      <c r="M42">
        <v>113.5</v>
      </c>
      <c r="N42">
        <v>112.1</v>
      </c>
      <c r="O42">
        <v>119.9</v>
      </c>
      <c r="P42">
        <v>115.2</v>
      </c>
      <c r="Q42">
        <v>116.2</v>
      </c>
      <c r="R42">
        <v>115.3</v>
      </c>
      <c r="S42">
        <v>111.7</v>
      </c>
      <c r="T42">
        <v>114.7</v>
      </c>
      <c r="U42" t="s">
        <v>58</v>
      </c>
      <c r="V42">
        <v>111.1</v>
      </c>
      <c r="W42">
        <v>112.6</v>
      </c>
      <c r="X42">
        <v>110.4</v>
      </c>
      <c r="Y42">
        <v>111.3</v>
      </c>
      <c r="Z42">
        <v>110.3</v>
      </c>
      <c r="AA42">
        <v>111.6</v>
      </c>
      <c r="AB42">
        <v>108.7</v>
      </c>
      <c r="AC42">
        <v>111</v>
      </c>
      <c r="AD42">
        <v>113.1</v>
      </c>
    </row>
    <row r="43" spans="1:30">
      <c r="A43" t="s">
        <v>35</v>
      </c>
      <c r="B43">
        <v>2014</v>
      </c>
      <c r="C43" t="s">
        <v>36</v>
      </c>
      <c r="D43">
        <v>120.2</v>
      </c>
      <c r="E43">
        <v>119.2</v>
      </c>
      <c r="F43">
        <v>122.5</v>
      </c>
      <c r="G43">
        <v>115.1</v>
      </c>
      <c r="H43">
        <v>106.6</v>
      </c>
      <c r="I43">
        <v>115.4</v>
      </c>
      <c r="J43">
        <v>114.5</v>
      </c>
      <c r="K43">
        <v>109.3</v>
      </c>
      <c r="L43">
        <v>99.2</v>
      </c>
      <c r="M43">
        <v>111.4</v>
      </c>
      <c r="N43">
        <v>112.6</v>
      </c>
      <c r="O43">
        <v>118.8</v>
      </c>
      <c r="P43">
        <v>115.3</v>
      </c>
      <c r="Q43">
        <v>114.7</v>
      </c>
      <c r="R43">
        <v>116.4</v>
      </c>
      <c r="S43">
        <v>113.3</v>
      </c>
      <c r="T43">
        <v>115.9</v>
      </c>
      <c r="U43" t="s">
        <v>58</v>
      </c>
      <c r="V43">
        <v>112.4</v>
      </c>
      <c r="W43">
        <v>112.8</v>
      </c>
      <c r="X43">
        <v>110.7</v>
      </c>
      <c r="Y43">
        <v>111.1</v>
      </c>
      <c r="Z43">
        <v>110.1</v>
      </c>
      <c r="AA43">
        <v>111.8</v>
      </c>
      <c r="AB43">
        <v>108.7</v>
      </c>
      <c r="AC43">
        <v>110.9</v>
      </c>
      <c r="AD43">
        <v>113.6</v>
      </c>
    </row>
    <row r="44" spans="1:30">
      <c r="A44" t="s">
        <v>30</v>
      </c>
      <c r="B44">
        <v>2014</v>
      </c>
      <c r="C44" t="s">
        <v>38</v>
      </c>
      <c r="D44">
        <v>120.1</v>
      </c>
      <c r="E44">
        <v>118.1</v>
      </c>
      <c r="F44">
        <v>120.7</v>
      </c>
      <c r="G44">
        <v>116.1</v>
      </c>
      <c r="H44">
        <v>109.3</v>
      </c>
      <c r="I44">
        <v>119.6</v>
      </c>
      <c r="J44">
        <v>117.9</v>
      </c>
      <c r="K44">
        <v>110.2</v>
      </c>
      <c r="L44">
        <v>101.2</v>
      </c>
      <c r="M44">
        <v>110.7</v>
      </c>
      <c r="N44">
        <v>113</v>
      </c>
      <c r="O44">
        <v>118.3</v>
      </c>
      <c r="P44">
        <v>116.2</v>
      </c>
      <c r="Q44">
        <v>114.6</v>
      </c>
      <c r="R44">
        <v>117.5</v>
      </c>
      <c r="S44">
        <v>114.9</v>
      </c>
      <c r="T44">
        <v>117.2</v>
      </c>
      <c r="U44" t="s">
        <v>32</v>
      </c>
      <c r="V44">
        <v>113.4</v>
      </c>
      <c r="W44">
        <v>113.4</v>
      </c>
      <c r="X44">
        <v>111.4</v>
      </c>
      <c r="Y44">
        <v>111.2</v>
      </c>
      <c r="Z44">
        <v>110.2</v>
      </c>
      <c r="AA44">
        <v>112.4</v>
      </c>
      <c r="AB44">
        <v>108.9</v>
      </c>
      <c r="AC44">
        <v>111.3</v>
      </c>
      <c r="AD44">
        <v>114.6</v>
      </c>
    </row>
    <row r="45" spans="1:30">
      <c r="A45" t="s">
        <v>33</v>
      </c>
      <c r="B45">
        <v>2014</v>
      </c>
      <c r="C45" t="s">
        <v>38</v>
      </c>
      <c r="D45">
        <v>122.1</v>
      </c>
      <c r="E45">
        <v>121.4</v>
      </c>
      <c r="F45">
        <v>121.5</v>
      </c>
      <c r="G45">
        <v>116.2</v>
      </c>
      <c r="H45">
        <v>102.8</v>
      </c>
      <c r="I45">
        <v>117.7</v>
      </c>
      <c r="J45">
        <v>113.3</v>
      </c>
      <c r="K45">
        <v>108.9</v>
      </c>
      <c r="L45">
        <v>96.3</v>
      </c>
      <c r="M45">
        <v>114.1</v>
      </c>
      <c r="N45">
        <v>112.2</v>
      </c>
      <c r="O45">
        <v>120.5</v>
      </c>
      <c r="P45">
        <v>116</v>
      </c>
      <c r="Q45">
        <v>116.7</v>
      </c>
      <c r="R45">
        <v>115.8</v>
      </c>
      <c r="S45">
        <v>112.1</v>
      </c>
      <c r="T45">
        <v>115.2</v>
      </c>
      <c r="U45" t="s">
        <v>59</v>
      </c>
      <c r="V45">
        <v>110.9</v>
      </c>
      <c r="W45">
        <v>113</v>
      </c>
      <c r="X45">
        <v>110.8</v>
      </c>
      <c r="Y45">
        <v>111.6</v>
      </c>
      <c r="Z45">
        <v>110.9</v>
      </c>
      <c r="AA45">
        <v>111.8</v>
      </c>
      <c r="AB45">
        <v>109.2</v>
      </c>
      <c r="AC45">
        <v>111.4</v>
      </c>
      <c r="AD45">
        <v>113.7</v>
      </c>
    </row>
    <row r="46" spans="1:30">
      <c r="A46" t="s">
        <v>35</v>
      </c>
      <c r="B46">
        <v>2014</v>
      </c>
      <c r="C46" t="s">
        <v>60</v>
      </c>
      <c r="D46">
        <v>120.7</v>
      </c>
      <c r="E46">
        <v>119.3</v>
      </c>
      <c r="F46">
        <v>121</v>
      </c>
      <c r="G46">
        <v>116.1</v>
      </c>
      <c r="H46">
        <v>106.9</v>
      </c>
      <c r="I46">
        <v>118.7</v>
      </c>
      <c r="J46">
        <v>116.3</v>
      </c>
      <c r="K46">
        <v>109.8</v>
      </c>
      <c r="L46">
        <v>99.6</v>
      </c>
      <c r="M46">
        <v>111.8</v>
      </c>
      <c r="N46">
        <v>112.7</v>
      </c>
      <c r="O46">
        <v>119.3</v>
      </c>
      <c r="P46">
        <v>116.1</v>
      </c>
      <c r="Q46">
        <v>115.2</v>
      </c>
      <c r="R46">
        <v>116.8</v>
      </c>
      <c r="S46">
        <v>113.7</v>
      </c>
      <c r="T46">
        <v>116.4</v>
      </c>
      <c r="U46" t="s">
        <v>59</v>
      </c>
      <c r="V46">
        <v>112.5</v>
      </c>
      <c r="W46">
        <v>113.2</v>
      </c>
      <c r="X46">
        <v>111.2</v>
      </c>
      <c r="Y46">
        <v>111.4</v>
      </c>
      <c r="Z46">
        <v>110.6</v>
      </c>
      <c r="AA46">
        <v>112</v>
      </c>
      <c r="AB46">
        <v>109</v>
      </c>
      <c r="AC46">
        <v>111.3</v>
      </c>
      <c r="AD46">
        <v>114.2</v>
      </c>
    </row>
    <row r="47" spans="1:30">
      <c r="A47" t="s">
        <v>30</v>
      </c>
      <c r="B47">
        <v>2014</v>
      </c>
      <c r="C47" t="s">
        <v>39</v>
      </c>
      <c r="D47">
        <v>120.2</v>
      </c>
      <c r="E47">
        <v>118.9</v>
      </c>
      <c r="F47">
        <v>118.1</v>
      </c>
      <c r="G47">
        <v>117</v>
      </c>
      <c r="H47">
        <v>109.7</v>
      </c>
      <c r="I47">
        <v>125.5</v>
      </c>
      <c r="J47">
        <v>120.5</v>
      </c>
      <c r="K47">
        <v>111</v>
      </c>
      <c r="L47">
        <v>102.6</v>
      </c>
      <c r="M47">
        <v>111.2</v>
      </c>
      <c r="N47">
        <v>113.5</v>
      </c>
      <c r="O47">
        <v>118.7</v>
      </c>
      <c r="P47">
        <v>117.2</v>
      </c>
      <c r="Q47">
        <v>115.4</v>
      </c>
      <c r="R47">
        <v>118.1</v>
      </c>
      <c r="S47">
        <v>116.1</v>
      </c>
      <c r="T47">
        <v>117.8</v>
      </c>
      <c r="U47" t="s">
        <v>32</v>
      </c>
      <c r="V47">
        <v>113.4</v>
      </c>
      <c r="W47">
        <v>113.7</v>
      </c>
      <c r="X47">
        <v>111.8</v>
      </c>
      <c r="Y47">
        <v>111.2</v>
      </c>
      <c r="Z47">
        <v>110.5</v>
      </c>
      <c r="AA47">
        <v>113</v>
      </c>
      <c r="AB47">
        <v>108.9</v>
      </c>
      <c r="AC47">
        <v>111.5</v>
      </c>
      <c r="AD47">
        <v>115.4</v>
      </c>
    </row>
    <row r="48" spans="1:30">
      <c r="A48" t="s">
        <v>33</v>
      </c>
      <c r="B48">
        <v>2014</v>
      </c>
      <c r="C48" t="s">
        <v>39</v>
      </c>
      <c r="D48">
        <v>122.5</v>
      </c>
      <c r="E48">
        <v>121.7</v>
      </c>
      <c r="F48">
        <v>113.3</v>
      </c>
      <c r="G48">
        <v>117</v>
      </c>
      <c r="H48">
        <v>103.1</v>
      </c>
      <c r="I48">
        <v>126.7</v>
      </c>
      <c r="J48">
        <v>121.2</v>
      </c>
      <c r="K48">
        <v>111</v>
      </c>
      <c r="L48">
        <v>100.3</v>
      </c>
      <c r="M48">
        <v>115.3</v>
      </c>
      <c r="N48">
        <v>112.7</v>
      </c>
      <c r="O48">
        <v>121</v>
      </c>
      <c r="P48">
        <v>118.2</v>
      </c>
      <c r="Q48">
        <v>117.6</v>
      </c>
      <c r="R48">
        <v>116.3</v>
      </c>
      <c r="S48">
        <v>112.5</v>
      </c>
      <c r="T48">
        <v>115.7</v>
      </c>
      <c r="U48" t="s">
        <v>61</v>
      </c>
      <c r="V48">
        <v>110.9</v>
      </c>
      <c r="W48">
        <v>113.4</v>
      </c>
      <c r="X48">
        <v>111</v>
      </c>
      <c r="Y48">
        <v>111.2</v>
      </c>
      <c r="Z48">
        <v>111.2</v>
      </c>
      <c r="AA48">
        <v>112.5</v>
      </c>
      <c r="AB48">
        <v>109.1</v>
      </c>
      <c r="AC48">
        <v>111.4</v>
      </c>
      <c r="AD48">
        <v>114.7</v>
      </c>
    </row>
    <row r="49" spans="1:30">
      <c r="A49" t="s">
        <v>35</v>
      </c>
      <c r="B49">
        <v>2014</v>
      </c>
      <c r="C49" t="s">
        <v>39</v>
      </c>
      <c r="D49">
        <v>120.9</v>
      </c>
      <c r="E49">
        <v>119.9</v>
      </c>
      <c r="F49">
        <v>116.2</v>
      </c>
      <c r="G49">
        <v>117</v>
      </c>
      <c r="H49">
        <v>107.3</v>
      </c>
      <c r="I49">
        <v>126.1</v>
      </c>
      <c r="J49">
        <v>120.7</v>
      </c>
      <c r="K49">
        <v>111</v>
      </c>
      <c r="L49">
        <v>101.8</v>
      </c>
      <c r="M49">
        <v>112.6</v>
      </c>
      <c r="N49">
        <v>113.2</v>
      </c>
      <c r="O49">
        <v>119.8</v>
      </c>
      <c r="P49">
        <v>117.6</v>
      </c>
      <c r="Q49">
        <v>116</v>
      </c>
      <c r="R49">
        <v>117.4</v>
      </c>
      <c r="S49">
        <v>114.6</v>
      </c>
      <c r="T49">
        <v>117</v>
      </c>
      <c r="U49" t="s">
        <v>61</v>
      </c>
      <c r="V49">
        <v>112.5</v>
      </c>
      <c r="W49">
        <v>113.6</v>
      </c>
      <c r="X49">
        <v>111.5</v>
      </c>
      <c r="Y49">
        <v>111.2</v>
      </c>
      <c r="Z49">
        <v>110.9</v>
      </c>
      <c r="AA49">
        <v>112.7</v>
      </c>
      <c r="AB49">
        <v>109</v>
      </c>
      <c r="AC49">
        <v>111.5</v>
      </c>
      <c r="AD49">
        <v>115.1</v>
      </c>
    </row>
    <row r="50" spans="1:30">
      <c r="A50" t="s">
        <v>30</v>
      </c>
      <c r="B50">
        <v>2014</v>
      </c>
      <c r="C50" t="s">
        <v>41</v>
      </c>
      <c r="D50">
        <v>120.3</v>
      </c>
      <c r="E50">
        <v>120.2</v>
      </c>
      <c r="F50">
        <v>116.9</v>
      </c>
      <c r="G50">
        <v>118</v>
      </c>
      <c r="H50">
        <v>110.1</v>
      </c>
      <c r="I50">
        <v>126.3</v>
      </c>
      <c r="J50">
        <v>123.9</v>
      </c>
      <c r="K50">
        <v>111.5</v>
      </c>
      <c r="L50">
        <v>103.5</v>
      </c>
      <c r="M50">
        <v>111.6</v>
      </c>
      <c r="N50">
        <v>114.2</v>
      </c>
      <c r="O50">
        <v>119.2</v>
      </c>
      <c r="P50">
        <v>118.2</v>
      </c>
      <c r="Q50">
        <v>116.3</v>
      </c>
      <c r="R50">
        <v>118.7</v>
      </c>
      <c r="S50">
        <v>116.8</v>
      </c>
      <c r="T50">
        <v>118.5</v>
      </c>
      <c r="U50" t="s">
        <v>32</v>
      </c>
      <c r="V50">
        <v>113.4</v>
      </c>
      <c r="W50">
        <v>114.1</v>
      </c>
      <c r="X50">
        <v>112.1</v>
      </c>
      <c r="Y50">
        <v>111.4</v>
      </c>
      <c r="Z50">
        <v>110.9</v>
      </c>
      <c r="AA50">
        <v>113.1</v>
      </c>
      <c r="AB50">
        <v>108.9</v>
      </c>
      <c r="AC50">
        <v>111.8</v>
      </c>
      <c r="AD50">
        <v>116</v>
      </c>
    </row>
    <row r="51" spans="1:30">
      <c r="A51" t="s">
        <v>33</v>
      </c>
      <c r="B51">
        <v>2014</v>
      </c>
      <c r="C51" t="s">
        <v>41</v>
      </c>
      <c r="D51">
        <v>122.7</v>
      </c>
      <c r="E51">
        <v>124.1</v>
      </c>
      <c r="F51">
        <v>114.2</v>
      </c>
      <c r="G51">
        <v>119.1</v>
      </c>
      <c r="H51">
        <v>103.5</v>
      </c>
      <c r="I51">
        <v>129.19999999999999</v>
      </c>
      <c r="J51">
        <v>127</v>
      </c>
      <c r="K51">
        <v>112.6</v>
      </c>
      <c r="L51">
        <v>101.3</v>
      </c>
      <c r="M51">
        <v>117</v>
      </c>
      <c r="N51">
        <v>112.9</v>
      </c>
      <c r="O51">
        <v>121.7</v>
      </c>
      <c r="P51">
        <v>120</v>
      </c>
      <c r="Q51">
        <v>118.3</v>
      </c>
      <c r="R51">
        <v>116.8</v>
      </c>
      <c r="S51">
        <v>112.9</v>
      </c>
      <c r="T51">
        <v>116.2</v>
      </c>
      <c r="U51" t="s">
        <v>62</v>
      </c>
      <c r="V51">
        <v>111.1</v>
      </c>
      <c r="W51">
        <v>114.1</v>
      </c>
      <c r="X51">
        <v>111.2</v>
      </c>
      <c r="Y51">
        <v>111.3</v>
      </c>
      <c r="Z51">
        <v>111.5</v>
      </c>
      <c r="AA51">
        <v>112.9</v>
      </c>
      <c r="AB51">
        <v>109.3</v>
      </c>
      <c r="AC51">
        <v>111.7</v>
      </c>
      <c r="AD51">
        <v>115.6</v>
      </c>
    </row>
    <row r="52" spans="1:30">
      <c r="A52" t="s">
        <v>35</v>
      </c>
      <c r="B52">
        <v>2014</v>
      </c>
      <c r="C52" t="s">
        <v>41</v>
      </c>
      <c r="D52">
        <v>121.1</v>
      </c>
      <c r="E52">
        <v>121.6</v>
      </c>
      <c r="F52">
        <v>115.9</v>
      </c>
      <c r="G52">
        <v>118.4</v>
      </c>
      <c r="H52">
        <v>107.7</v>
      </c>
      <c r="I52">
        <v>127.7</v>
      </c>
      <c r="J52">
        <v>125</v>
      </c>
      <c r="K52">
        <v>111.9</v>
      </c>
      <c r="L52">
        <v>102.8</v>
      </c>
      <c r="M52">
        <v>113.4</v>
      </c>
      <c r="N52">
        <v>113.7</v>
      </c>
      <c r="O52">
        <v>120.4</v>
      </c>
      <c r="P52">
        <v>118.9</v>
      </c>
      <c r="Q52">
        <v>116.8</v>
      </c>
      <c r="R52">
        <v>118</v>
      </c>
      <c r="S52">
        <v>115.2</v>
      </c>
      <c r="T52">
        <v>117.6</v>
      </c>
      <c r="U52" t="s">
        <v>62</v>
      </c>
      <c r="V52">
        <v>112.5</v>
      </c>
      <c r="W52">
        <v>114.1</v>
      </c>
      <c r="X52">
        <v>111.8</v>
      </c>
      <c r="Y52">
        <v>111.3</v>
      </c>
      <c r="Z52">
        <v>111.2</v>
      </c>
      <c r="AA52">
        <v>113</v>
      </c>
      <c r="AB52">
        <v>109.1</v>
      </c>
      <c r="AC52">
        <v>111.8</v>
      </c>
      <c r="AD52">
        <v>115.8</v>
      </c>
    </row>
    <row r="53" spans="1:30">
      <c r="A53" t="s">
        <v>30</v>
      </c>
      <c r="B53">
        <v>2014</v>
      </c>
      <c r="C53" t="s">
        <v>42</v>
      </c>
      <c r="D53">
        <v>120.7</v>
      </c>
      <c r="E53">
        <v>121.6</v>
      </c>
      <c r="F53">
        <v>116.1</v>
      </c>
      <c r="G53">
        <v>119.3</v>
      </c>
      <c r="H53">
        <v>110.3</v>
      </c>
      <c r="I53">
        <v>125.8</v>
      </c>
      <c r="J53">
        <v>129.30000000000001</v>
      </c>
      <c r="K53">
        <v>112.2</v>
      </c>
      <c r="L53">
        <v>103.6</v>
      </c>
      <c r="M53">
        <v>112.3</v>
      </c>
      <c r="N53">
        <v>114.9</v>
      </c>
      <c r="O53">
        <v>120.1</v>
      </c>
      <c r="P53">
        <v>119.5</v>
      </c>
      <c r="Q53">
        <v>117.3</v>
      </c>
      <c r="R53">
        <v>119.7</v>
      </c>
      <c r="S53">
        <v>117.3</v>
      </c>
      <c r="T53">
        <v>119.3</v>
      </c>
      <c r="U53" t="s">
        <v>32</v>
      </c>
      <c r="V53">
        <v>114.4</v>
      </c>
      <c r="W53">
        <v>114.9</v>
      </c>
      <c r="X53">
        <v>112.8</v>
      </c>
      <c r="Y53">
        <v>112.2</v>
      </c>
      <c r="Z53">
        <v>111.4</v>
      </c>
      <c r="AA53">
        <v>114.3</v>
      </c>
      <c r="AB53">
        <v>108</v>
      </c>
      <c r="AC53">
        <v>112.3</v>
      </c>
      <c r="AD53">
        <v>117</v>
      </c>
    </row>
    <row r="54" spans="1:30">
      <c r="A54" t="s">
        <v>33</v>
      </c>
      <c r="B54">
        <v>2014</v>
      </c>
      <c r="C54" t="s">
        <v>42</v>
      </c>
      <c r="D54">
        <v>123.1</v>
      </c>
      <c r="E54">
        <v>125.9</v>
      </c>
      <c r="F54">
        <v>115.4</v>
      </c>
      <c r="G54">
        <v>120.4</v>
      </c>
      <c r="H54">
        <v>103.4</v>
      </c>
      <c r="I54">
        <v>131.19999999999999</v>
      </c>
      <c r="J54">
        <v>137.5</v>
      </c>
      <c r="K54">
        <v>112.8</v>
      </c>
      <c r="L54">
        <v>101.4</v>
      </c>
      <c r="M54">
        <v>118.3</v>
      </c>
      <c r="N54">
        <v>113.2</v>
      </c>
      <c r="O54">
        <v>122.4</v>
      </c>
      <c r="P54">
        <v>122</v>
      </c>
      <c r="Q54">
        <v>119</v>
      </c>
      <c r="R54">
        <v>117.4</v>
      </c>
      <c r="S54">
        <v>113.2</v>
      </c>
      <c r="T54">
        <v>116.7</v>
      </c>
      <c r="U54" t="s">
        <v>61</v>
      </c>
      <c r="V54">
        <v>111.2</v>
      </c>
      <c r="W54">
        <v>114.3</v>
      </c>
      <c r="X54">
        <v>111.4</v>
      </c>
      <c r="Y54">
        <v>111.5</v>
      </c>
      <c r="Z54">
        <v>111.8</v>
      </c>
      <c r="AA54">
        <v>115.1</v>
      </c>
      <c r="AB54">
        <v>108.7</v>
      </c>
      <c r="AC54">
        <v>112.2</v>
      </c>
      <c r="AD54">
        <v>116.4</v>
      </c>
    </row>
    <row r="55" spans="1:30">
      <c r="A55" t="s">
        <v>35</v>
      </c>
      <c r="B55">
        <v>2014</v>
      </c>
      <c r="C55" t="s">
        <v>42</v>
      </c>
      <c r="D55">
        <v>121.5</v>
      </c>
      <c r="E55">
        <v>123.1</v>
      </c>
      <c r="F55">
        <v>115.8</v>
      </c>
      <c r="G55">
        <v>119.7</v>
      </c>
      <c r="H55">
        <v>107.8</v>
      </c>
      <c r="I55">
        <v>128.30000000000001</v>
      </c>
      <c r="J55">
        <v>132.1</v>
      </c>
      <c r="K55">
        <v>112.4</v>
      </c>
      <c r="L55">
        <v>102.9</v>
      </c>
      <c r="M55">
        <v>114.3</v>
      </c>
      <c r="N55">
        <v>114.2</v>
      </c>
      <c r="O55">
        <v>121.2</v>
      </c>
      <c r="P55">
        <v>120.4</v>
      </c>
      <c r="Q55">
        <v>117.8</v>
      </c>
      <c r="R55">
        <v>118.8</v>
      </c>
      <c r="S55">
        <v>115.6</v>
      </c>
      <c r="T55">
        <v>118.3</v>
      </c>
      <c r="U55" t="s">
        <v>61</v>
      </c>
      <c r="V55">
        <v>113.2</v>
      </c>
      <c r="W55">
        <v>114.6</v>
      </c>
      <c r="X55">
        <v>112.3</v>
      </c>
      <c r="Y55">
        <v>111.8</v>
      </c>
      <c r="Z55">
        <v>111.6</v>
      </c>
      <c r="AA55">
        <v>114.8</v>
      </c>
      <c r="AB55">
        <v>108.3</v>
      </c>
      <c r="AC55">
        <v>112.3</v>
      </c>
      <c r="AD55">
        <v>116.7</v>
      </c>
    </row>
    <row r="56" spans="1:30">
      <c r="A56" t="s">
        <v>30</v>
      </c>
      <c r="B56">
        <v>2014</v>
      </c>
      <c r="C56" t="s">
        <v>44</v>
      </c>
      <c r="D56">
        <v>121.7</v>
      </c>
      <c r="E56">
        <v>122.5</v>
      </c>
      <c r="F56">
        <v>117.7</v>
      </c>
      <c r="G56">
        <v>120.6</v>
      </c>
      <c r="H56">
        <v>110.4</v>
      </c>
      <c r="I56">
        <v>129.1</v>
      </c>
      <c r="J56">
        <v>150.1</v>
      </c>
      <c r="K56">
        <v>113.2</v>
      </c>
      <c r="L56">
        <v>104.8</v>
      </c>
      <c r="M56">
        <v>113.3</v>
      </c>
      <c r="N56">
        <v>115.6</v>
      </c>
      <c r="O56">
        <v>120.9</v>
      </c>
      <c r="P56">
        <v>123.3</v>
      </c>
      <c r="Q56">
        <v>118</v>
      </c>
      <c r="R56">
        <v>120.7</v>
      </c>
      <c r="S56">
        <v>118.3</v>
      </c>
      <c r="T56">
        <v>120.3</v>
      </c>
      <c r="U56" t="s">
        <v>32</v>
      </c>
      <c r="V56">
        <v>115.3</v>
      </c>
      <c r="W56">
        <v>115.4</v>
      </c>
      <c r="X56">
        <v>113.4</v>
      </c>
      <c r="Y56">
        <v>113.2</v>
      </c>
      <c r="Z56">
        <v>111.8</v>
      </c>
      <c r="AA56">
        <v>115.5</v>
      </c>
      <c r="AB56">
        <v>108.8</v>
      </c>
      <c r="AC56">
        <v>113.1</v>
      </c>
      <c r="AD56">
        <v>119.5</v>
      </c>
    </row>
    <row r="57" spans="1:30">
      <c r="A57" t="s">
        <v>33</v>
      </c>
      <c r="B57">
        <v>2014</v>
      </c>
      <c r="C57" t="s">
        <v>44</v>
      </c>
      <c r="D57">
        <v>123.8</v>
      </c>
      <c r="E57">
        <v>126.4</v>
      </c>
      <c r="F57">
        <v>118</v>
      </c>
      <c r="G57">
        <v>121.6</v>
      </c>
      <c r="H57">
        <v>103.5</v>
      </c>
      <c r="I57">
        <v>133.69999999999999</v>
      </c>
      <c r="J57">
        <v>172.4</v>
      </c>
      <c r="K57">
        <v>113.1</v>
      </c>
      <c r="L57">
        <v>102.7</v>
      </c>
      <c r="M57">
        <v>120</v>
      </c>
      <c r="N57">
        <v>113.8</v>
      </c>
      <c r="O57">
        <v>123.4</v>
      </c>
      <c r="P57">
        <v>127.1</v>
      </c>
      <c r="Q57">
        <v>121</v>
      </c>
      <c r="R57">
        <v>118</v>
      </c>
      <c r="S57">
        <v>113.6</v>
      </c>
      <c r="T57">
        <v>117.4</v>
      </c>
      <c r="U57" t="s">
        <v>63</v>
      </c>
      <c r="V57">
        <v>111.6</v>
      </c>
      <c r="W57">
        <v>114.9</v>
      </c>
      <c r="X57">
        <v>111.5</v>
      </c>
      <c r="Y57">
        <v>113</v>
      </c>
      <c r="Z57">
        <v>112.4</v>
      </c>
      <c r="AA57">
        <v>117.8</v>
      </c>
      <c r="AB57">
        <v>109.7</v>
      </c>
      <c r="AC57">
        <v>113.5</v>
      </c>
      <c r="AD57">
        <v>118.9</v>
      </c>
    </row>
    <row r="58" spans="1:30">
      <c r="A58" t="s">
        <v>35</v>
      </c>
      <c r="B58">
        <v>2014</v>
      </c>
      <c r="C58" t="s">
        <v>44</v>
      </c>
      <c r="D58">
        <v>122.4</v>
      </c>
      <c r="E58">
        <v>123.9</v>
      </c>
      <c r="F58">
        <v>117.8</v>
      </c>
      <c r="G58">
        <v>121</v>
      </c>
      <c r="H58">
        <v>107.9</v>
      </c>
      <c r="I58">
        <v>131.19999999999999</v>
      </c>
      <c r="J58">
        <v>157.69999999999999</v>
      </c>
      <c r="K58">
        <v>113.2</v>
      </c>
      <c r="L58">
        <v>104.1</v>
      </c>
      <c r="M58">
        <v>115.5</v>
      </c>
      <c r="N58">
        <v>114.8</v>
      </c>
      <c r="O58">
        <v>122.1</v>
      </c>
      <c r="P58">
        <v>124.7</v>
      </c>
      <c r="Q58">
        <v>118.8</v>
      </c>
      <c r="R58">
        <v>119.6</v>
      </c>
      <c r="S58">
        <v>116.3</v>
      </c>
      <c r="T58">
        <v>119.1</v>
      </c>
      <c r="U58" t="s">
        <v>63</v>
      </c>
      <c r="V58">
        <v>113.9</v>
      </c>
      <c r="W58">
        <v>115.2</v>
      </c>
      <c r="X58">
        <v>112.7</v>
      </c>
      <c r="Y58">
        <v>113.1</v>
      </c>
      <c r="Z58">
        <v>112.1</v>
      </c>
      <c r="AA58">
        <v>116.8</v>
      </c>
      <c r="AB58">
        <v>109.2</v>
      </c>
      <c r="AC58">
        <v>113.3</v>
      </c>
      <c r="AD58">
        <v>119.2</v>
      </c>
    </row>
    <row r="59" spans="1:30">
      <c r="A59" t="s">
        <v>30</v>
      </c>
      <c r="B59">
        <v>2014</v>
      </c>
      <c r="C59" t="s">
        <v>46</v>
      </c>
      <c r="D59">
        <v>121.8</v>
      </c>
      <c r="E59">
        <v>122.8</v>
      </c>
      <c r="F59">
        <v>117.8</v>
      </c>
      <c r="G59">
        <v>121.9</v>
      </c>
      <c r="H59">
        <v>110.6</v>
      </c>
      <c r="I59">
        <v>129.69999999999999</v>
      </c>
      <c r="J59">
        <v>161.1</v>
      </c>
      <c r="K59">
        <v>114.1</v>
      </c>
      <c r="L59">
        <v>105.1</v>
      </c>
      <c r="M59">
        <v>114.6</v>
      </c>
      <c r="N59">
        <v>115.8</v>
      </c>
      <c r="O59">
        <v>121.7</v>
      </c>
      <c r="P59">
        <v>125.3</v>
      </c>
      <c r="Q59">
        <v>118.8</v>
      </c>
      <c r="R59">
        <v>120.9</v>
      </c>
      <c r="S59">
        <v>118.8</v>
      </c>
      <c r="T59">
        <v>120.7</v>
      </c>
      <c r="U59" t="s">
        <v>32</v>
      </c>
      <c r="V59">
        <v>115.4</v>
      </c>
      <c r="W59">
        <v>115.9</v>
      </c>
      <c r="X59">
        <v>114</v>
      </c>
      <c r="Y59">
        <v>113.2</v>
      </c>
      <c r="Z59">
        <v>112.2</v>
      </c>
      <c r="AA59">
        <v>116.2</v>
      </c>
      <c r="AB59">
        <v>109.4</v>
      </c>
      <c r="AC59">
        <v>113.5</v>
      </c>
      <c r="AD59">
        <v>120.7</v>
      </c>
    </row>
    <row r="60" spans="1:30">
      <c r="A60" t="s">
        <v>33</v>
      </c>
      <c r="B60">
        <v>2014</v>
      </c>
      <c r="C60" t="s">
        <v>46</v>
      </c>
      <c r="D60">
        <v>124.8</v>
      </c>
      <c r="E60">
        <v>127.3</v>
      </c>
      <c r="F60">
        <v>116.5</v>
      </c>
      <c r="G60">
        <v>122.2</v>
      </c>
      <c r="H60">
        <v>103.6</v>
      </c>
      <c r="I60">
        <v>132.69999999999999</v>
      </c>
      <c r="J60">
        <v>181.9</v>
      </c>
      <c r="K60">
        <v>115.2</v>
      </c>
      <c r="L60">
        <v>102.7</v>
      </c>
      <c r="M60">
        <v>122.1</v>
      </c>
      <c r="N60">
        <v>114.4</v>
      </c>
      <c r="O60">
        <v>124.7</v>
      </c>
      <c r="P60">
        <v>128.9</v>
      </c>
      <c r="Q60">
        <v>123</v>
      </c>
      <c r="R60">
        <v>118.6</v>
      </c>
      <c r="S60">
        <v>114.1</v>
      </c>
      <c r="T60">
        <v>117.9</v>
      </c>
      <c r="U60" t="s">
        <v>64</v>
      </c>
      <c r="V60">
        <v>111.8</v>
      </c>
      <c r="W60">
        <v>115.3</v>
      </c>
      <c r="X60">
        <v>112.2</v>
      </c>
      <c r="Y60">
        <v>112.5</v>
      </c>
      <c r="Z60">
        <v>112.9</v>
      </c>
      <c r="AA60">
        <v>119.2</v>
      </c>
      <c r="AB60">
        <v>110.5</v>
      </c>
      <c r="AC60">
        <v>113.9</v>
      </c>
      <c r="AD60">
        <v>119.9</v>
      </c>
    </row>
    <row r="61" spans="1:30">
      <c r="A61" t="s">
        <v>35</v>
      </c>
      <c r="B61">
        <v>2014</v>
      </c>
      <c r="C61" t="s">
        <v>46</v>
      </c>
      <c r="D61">
        <v>122.7</v>
      </c>
      <c r="E61">
        <v>124.4</v>
      </c>
      <c r="F61">
        <v>117.3</v>
      </c>
      <c r="G61">
        <v>122</v>
      </c>
      <c r="H61">
        <v>108</v>
      </c>
      <c r="I61">
        <v>131.1</v>
      </c>
      <c r="J61">
        <v>168.2</v>
      </c>
      <c r="K61">
        <v>114.5</v>
      </c>
      <c r="L61">
        <v>104.3</v>
      </c>
      <c r="M61">
        <v>117.1</v>
      </c>
      <c r="N61">
        <v>115.2</v>
      </c>
      <c r="O61">
        <v>123.1</v>
      </c>
      <c r="P61">
        <v>126.6</v>
      </c>
      <c r="Q61">
        <v>119.9</v>
      </c>
      <c r="R61">
        <v>120</v>
      </c>
      <c r="S61">
        <v>116.8</v>
      </c>
      <c r="T61">
        <v>119.6</v>
      </c>
      <c r="U61" t="s">
        <v>64</v>
      </c>
      <c r="V61">
        <v>114</v>
      </c>
      <c r="W61">
        <v>115.6</v>
      </c>
      <c r="X61">
        <v>113.3</v>
      </c>
      <c r="Y61">
        <v>112.8</v>
      </c>
      <c r="Z61">
        <v>112.6</v>
      </c>
      <c r="AA61">
        <v>118</v>
      </c>
      <c r="AB61">
        <v>109.9</v>
      </c>
      <c r="AC61">
        <v>113.7</v>
      </c>
      <c r="AD61">
        <v>120.3</v>
      </c>
    </row>
    <row r="62" spans="1:30">
      <c r="A62" t="s">
        <v>30</v>
      </c>
      <c r="B62">
        <v>2014</v>
      </c>
      <c r="C62" t="s">
        <v>48</v>
      </c>
      <c r="D62">
        <v>122.3</v>
      </c>
      <c r="E62">
        <v>122.4</v>
      </c>
      <c r="F62">
        <v>117.8</v>
      </c>
      <c r="G62">
        <v>122.7</v>
      </c>
      <c r="H62">
        <v>110.4</v>
      </c>
      <c r="I62">
        <v>129.80000000000001</v>
      </c>
      <c r="J62">
        <v>158.80000000000001</v>
      </c>
      <c r="K62">
        <v>115</v>
      </c>
      <c r="L62">
        <v>104.7</v>
      </c>
      <c r="M62">
        <v>114.9</v>
      </c>
      <c r="N62">
        <v>116.5</v>
      </c>
      <c r="O62">
        <v>122.6</v>
      </c>
      <c r="P62">
        <v>125.3</v>
      </c>
      <c r="Q62">
        <v>119.5</v>
      </c>
      <c r="R62">
        <v>121.7</v>
      </c>
      <c r="S62">
        <v>119.2</v>
      </c>
      <c r="T62">
        <v>121.3</v>
      </c>
      <c r="U62" t="s">
        <v>32</v>
      </c>
      <c r="V62">
        <v>115.8</v>
      </c>
      <c r="W62">
        <v>116.7</v>
      </c>
      <c r="X62">
        <v>114.5</v>
      </c>
      <c r="Y62">
        <v>112.8</v>
      </c>
      <c r="Z62">
        <v>112.6</v>
      </c>
      <c r="AA62">
        <v>116.6</v>
      </c>
      <c r="AB62">
        <v>109.1</v>
      </c>
      <c r="AC62">
        <v>113.7</v>
      </c>
      <c r="AD62">
        <v>120.9</v>
      </c>
    </row>
    <row r="63" spans="1:30">
      <c r="A63" t="s">
        <v>33</v>
      </c>
      <c r="B63">
        <v>2014</v>
      </c>
      <c r="C63" t="s">
        <v>48</v>
      </c>
      <c r="D63">
        <v>124.2</v>
      </c>
      <c r="E63">
        <v>125.4</v>
      </c>
      <c r="F63">
        <v>116.4</v>
      </c>
      <c r="G63">
        <v>122.7</v>
      </c>
      <c r="H63">
        <v>103.5</v>
      </c>
      <c r="I63">
        <v>124.5</v>
      </c>
      <c r="J63">
        <v>168.6</v>
      </c>
      <c r="K63">
        <v>116.9</v>
      </c>
      <c r="L63">
        <v>101.9</v>
      </c>
      <c r="M63">
        <v>122.9</v>
      </c>
      <c r="N63">
        <v>114.8</v>
      </c>
      <c r="O63">
        <v>125.2</v>
      </c>
      <c r="P63">
        <v>126.7</v>
      </c>
      <c r="Q63">
        <v>124.3</v>
      </c>
      <c r="R63">
        <v>119.2</v>
      </c>
      <c r="S63">
        <v>114.5</v>
      </c>
      <c r="T63">
        <v>118.4</v>
      </c>
      <c r="U63" t="s">
        <v>65</v>
      </c>
      <c r="V63">
        <v>111.8</v>
      </c>
      <c r="W63">
        <v>115.5</v>
      </c>
      <c r="X63">
        <v>112.3</v>
      </c>
      <c r="Y63">
        <v>111.2</v>
      </c>
      <c r="Z63">
        <v>113.4</v>
      </c>
      <c r="AA63">
        <v>120</v>
      </c>
      <c r="AB63">
        <v>110</v>
      </c>
      <c r="AC63">
        <v>113.6</v>
      </c>
      <c r="AD63">
        <v>119.2</v>
      </c>
    </row>
    <row r="64" spans="1:30">
      <c r="A64" t="s">
        <v>35</v>
      </c>
      <c r="B64">
        <v>2014</v>
      </c>
      <c r="C64" t="s">
        <v>48</v>
      </c>
      <c r="D64">
        <v>122.9</v>
      </c>
      <c r="E64">
        <v>123.5</v>
      </c>
      <c r="F64">
        <v>117.3</v>
      </c>
      <c r="G64">
        <v>122.7</v>
      </c>
      <c r="H64">
        <v>107.9</v>
      </c>
      <c r="I64">
        <v>127.3</v>
      </c>
      <c r="J64">
        <v>162.1</v>
      </c>
      <c r="K64">
        <v>115.6</v>
      </c>
      <c r="L64">
        <v>103.8</v>
      </c>
      <c r="M64">
        <v>117.6</v>
      </c>
      <c r="N64">
        <v>115.8</v>
      </c>
      <c r="O64">
        <v>123.8</v>
      </c>
      <c r="P64">
        <v>125.8</v>
      </c>
      <c r="Q64">
        <v>120.8</v>
      </c>
      <c r="R64">
        <v>120.7</v>
      </c>
      <c r="S64">
        <v>117.2</v>
      </c>
      <c r="T64">
        <v>120.1</v>
      </c>
      <c r="U64" t="s">
        <v>65</v>
      </c>
      <c r="V64">
        <v>114.3</v>
      </c>
      <c r="W64">
        <v>116.1</v>
      </c>
      <c r="X64">
        <v>113.7</v>
      </c>
      <c r="Y64">
        <v>112</v>
      </c>
      <c r="Z64">
        <v>113.1</v>
      </c>
      <c r="AA64">
        <v>118.6</v>
      </c>
      <c r="AB64">
        <v>109.5</v>
      </c>
      <c r="AC64">
        <v>113.7</v>
      </c>
      <c r="AD64">
        <v>120.1</v>
      </c>
    </row>
    <row r="65" spans="1:30">
      <c r="A65" t="s">
        <v>30</v>
      </c>
      <c r="B65">
        <v>2014</v>
      </c>
      <c r="C65" t="s">
        <v>50</v>
      </c>
      <c r="D65">
        <v>122.6</v>
      </c>
      <c r="E65">
        <v>122.5</v>
      </c>
      <c r="F65">
        <v>118.3</v>
      </c>
      <c r="G65">
        <v>123.2</v>
      </c>
      <c r="H65">
        <v>110.5</v>
      </c>
      <c r="I65">
        <v>128.9</v>
      </c>
      <c r="J65">
        <v>155.30000000000001</v>
      </c>
      <c r="K65">
        <v>115.5</v>
      </c>
      <c r="L65">
        <v>104</v>
      </c>
      <c r="M65">
        <v>115.3</v>
      </c>
      <c r="N65">
        <v>116.8</v>
      </c>
      <c r="O65">
        <v>123.2</v>
      </c>
      <c r="P65">
        <v>125.1</v>
      </c>
      <c r="Q65">
        <v>120</v>
      </c>
      <c r="R65">
        <v>122.7</v>
      </c>
      <c r="S65">
        <v>120.3</v>
      </c>
      <c r="T65">
        <v>122.3</v>
      </c>
      <c r="U65" t="s">
        <v>32</v>
      </c>
      <c r="V65">
        <v>116.4</v>
      </c>
      <c r="W65">
        <v>117.5</v>
      </c>
      <c r="X65">
        <v>115.3</v>
      </c>
      <c r="Y65">
        <v>112.6</v>
      </c>
      <c r="Z65">
        <v>113</v>
      </c>
      <c r="AA65">
        <v>116.9</v>
      </c>
      <c r="AB65">
        <v>109.3</v>
      </c>
      <c r="AC65">
        <v>114</v>
      </c>
      <c r="AD65">
        <v>121</v>
      </c>
    </row>
    <row r="66" spans="1:30">
      <c r="A66" t="s">
        <v>33</v>
      </c>
      <c r="B66">
        <v>2014</v>
      </c>
      <c r="C66" t="s">
        <v>50</v>
      </c>
      <c r="D66">
        <v>124.6</v>
      </c>
      <c r="E66">
        <v>126.1</v>
      </c>
      <c r="F66">
        <v>117.8</v>
      </c>
      <c r="G66">
        <v>123.1</v>
      </c>
      <c r="H66">
        <v>103.5</v>
      </c>
      <c r="I66">
        <v>123.5</v>
      </c>
      <c r="J66">
        <v>159.6</v>
      </c>
      <c r="K66">
        <v>117.4</v>
      </c>
      <c r="L66">
        <v>101.2</v>
      </c>
      <c r="M66">
        <v>123.8</v>
      </c>
      <c r="N66">
        <v>115.2</v>
      </c>
      <c r="O66">
        <v>125.9</v>
      </c>
      <c r="P66">
        <v>125.8</v>
      </c>
      <c r="Q66">
        <v>124.3</v>
      </c>
      <c r="R66">
        <v>119.6</v>
      </c>
      <c r="S66">
        <v>114.9</v>
      </c>
      <c r="T66">
        <v>118.9</v>
      </c>
      <c r="U66" t="s">
        <v>66</v>
      </c>
      <c r="V66">
        <v>112</v>
      </c>
      <c r="W66">
        <v>115.8</v>
      </c>
      <c r="X66">
        <v>112.6</v>
      </c>
      <c r="Y66">
        <v>111</v>
      </c>
      <c r="Z66">
        <v>113.6</v>
      </c>
      <c r="AA66">
        <v>120.2</v>
      </c>
      <c r="AB66">
        <v>110.1</v>
      </c>
      <c r="AC66">
        <v>113.7</v>
      </c>
      <c r="AD66">
        <v>119.1</v>
      </c>
    </row>
    <row r="67" spans="1:30">
      <c r="A67" t="s">
        <v>35</v>
      </c>
      <c r="B67">
        <v>2014</v>
      </c>
      <c r="C67" t="s">
        <v>50</v>
      </c>
      <c r="D67">
        <v>123.2</v>
      </c>
      <c r="E67">
        <v>123.8</v>
      </c>
      <c r="F67">
        <v>118.1</v>
      </c>
      <c r="G67">
        <v>123.2</v>
      </c>
      <c r="H67">
        <v>107.9</v>
      </c>
      <c r="I67">
        <v>126.4</v>
      </c>
      <c r="J67">
        <v>156.80000000000001</v>
      </c>
      <c r="K67">
        <v>116.1</v>
      </c>
      <c r="L67">
        <v>103.1</v>
      </c>
      <c r="M67">
        <v>118.1</v>
      </c>
      <c r="N67">
        <v>116.1</v>
      </c>
      <c r="O67">
        <v>124.5</v>
      </c>
      <c r="P67">
        <v>125.4</v>
      </c>
      <c r="Q67">
        <v>121.1</v>
      </c>
      <c r="R67">
        <v>121.5</v>
      </c>
      <c r="S67">
        <v>118.1</v>
      </c>
      <c r="T67">
        <v>121</v>
      </c>
      <c r="U67" t="s">
        <v>66</v>
      </c>
      <c r="V67">
        <v>114.7</v>
      </c>
      <c r="W67">
        <v>116.7</v>
      </c>
      <c r="X67">
        <v>114.3</v>
      </c>
      <c r="Y67">
        <v>111.8</v>
      </c>
      <c r="Z67">
        <v>113.3</v>
      </c>
      <c r="AA67">
        <v>118.8</v>
      </c>
      <c r="AB67">
        <v>109.6</v>
      </c>
      <c r="AC67">
        <v>113.9</v>
      </c>
      <c r="AD67">
        <v>120.1</v>
      </c>
    </row>
    <row r="68" spans="1:30">
      <c r="A68" t="s">
        <v>30</v>
      </c>
      <c r="B68">
        <v>2014</v>
      </c>
      <c r="C68" t="s">
        <v>53</v>
      </c>
      <c r="D68">
        <v>122.7</v>
      </c>
      <c r="E68">
        <v>122.6</v>
      </c>
      <c r="F68">
        <v>119.9</v>
      </c>
      <c r="G68">
        <v>124</v>
      </c>
      <c r="H68">
        <v>110.5</v>
      </c>
      <c r="I68">
        <v>128.80000000000001</v>
      </c>
      <c r="J68">
        <v>152</v>
      </c>
      <c r="K68">
        <v>116.2</v>
      </c>
      <c r="L68">
        <v>103.3</v>
      </c>
      <c r="M68">
        <v>115.8</v>
      </c>
      <c r="N68">
        <v>116.8</v>
      </c>
      <c r="O68">
        <v>124.5</v>
      </c>
      <c r="P68">
        <v>124.9</v>
      </c>
      <c r="Q68">
        <v>120.8</v>
      </c>
      <c r="R68">
        <v>123.3</v>
      </c>
      <c r="S68">
        <v>120.5</v>
      </c>
      <c r="T68">
        <v>122.9</v>
      </c>
      <c r="U68" t="s">
        <v>32</v>
      </c>
      <c r="V68">
        <v>117.3</v>
      </c>
      <c r="W68">
        <v>118.1</v>
      </c>
      <c r="X68">
        <v>115.9</v>
      </c>
      <c r="Y68">
        <v>112</v>
      </c>
      <c r="Z68">
        <v>113.3</v>
      </c>
      <c r="AA68">
        <v>117.2</v>
      </c>
      <c r="AB68">
        <v>108.8</v>
      </c>
      <c r="AC68">
        <v>114.1</v>
      </c>
      <c r="AD68">
        <v>121.1</v>
      </c>
    </row>
    <row r="69" spans="1:30">
      <c r="A69" t="s">
        <v>33</v>
      </c>
      <c r="B69">
        <v>2014</v>
      </c>
      <c r="C69" t="s">
        <v>53</v>
      </c>
      <c r="D69">
        <v>124.5</v>
      </c>
      <c r="E69">
        <v>125.6</v>
      </c>
      <c r="F69">
        <v>122.7</v>
      </c>
      <c r="G69">
        <v>124.6</v>
      </c>
      <c r="H69">
        <v>103.2</v>
      </c>
      <c r="I69">
        <v>122.2</v>
      </c>
      <c r="J69">
        <v>153.19999999999999</v>
      </c>
      <c r="K69">
        <v>119.3</v>
      </c>
      <c r="L69">
        <v>99.8</v>
      </c>
      <c r="M69">
        <v>124.6</v>
      </c>
      <c r="N69">
        <v>115.8</v>
      </c>
      <c r="O69">
        <v>126.9</v>
      </c>
      <c r="P69">
        <v>125.4</v>
      </c>
      <c r="Q69">
        <v>125.8</v>
      </c>
      <c r="R69">
        <v>120.3</v>
      </c>
      <c r="S69">
        <v>115.4</v>
      </c>
      <c r="T69">
        <v>119.5</v>
      </c>
      <c r="U69" t="s">
        <v>67</v>
      </c>
      <c r="V69">
        <v>112.6</v>
      </c>
      <c r="W69">
        <v>116.4</v>
      </c>
      <c r="X69">
        <v>113</v>
      </c>
      <c r="Y69">
        <v>109.7</v>
      </c>
      <c r="Z69">
        <v>114</v>
      </c>
      <c r="AA69">
        <v>120.3</v>
      </c>
      <c r="AB69">
        <v>109.6</v>
      </c>
      <c r="AC69">
        <v>113.4</v>
      </c>
      <c r="AD69">
        <v>119</v>
      </c>
    </row>
    <row r="70" spans="1:30">
      <c r="A70" t="s">
        <v>35</v>
      </c>
      <c r="B70">
        <v>2014</v>
      </c>
      <c r="C70" t="s">
        <v>53</v>
      </c>
      <c r="D70">
        <v>123.3</v>
      </c>
      <c r="E70">
        <v>123.7</v>
      </c>
      <c r="F70">
        <v>121</v>
      </c>
      <c r="G70">
        <v>124.2</v>
      </c>
      <c r="H70">
        <v>107.8</v>
      </c>
      <c r="I70">
        <v>125.7</v>
      </c>
      <c r="J70">
        <v>152.4</v>
      </c>
      <c r="K70">
        <v>117.2</v>
      </c>
      <c r="L70">
        <v>102.1</v>
      </c>
      <c r="M70">
        <v>118.7</v>
      </c>
      <c r="N70">
        <v>116.4</v>
      </c>
      <c r="O70">
        <v>125.6</v>
      </c>
      <c r="P70">
        <v>125.1</v>
      </c>
      <c r="Q70">
        <v>122.1</v>
      </c>
      <c r="R70">
        <v>122.1</v>
      </c>
      <c r="S70">
        <v>118.4</v>
      </c>
      <c r="T70">
        <v>121.6</v>
      </c>
      <c r="U70" t="s">
        <v>67</v>
      </c>
      <c r="V70">
        <v>115.5</v>
      </c>
      <c r="W70">
        <v>117.3</v>
      </c>
      <c r="X70">
        <v>114.8</v>
      </c>
      <c r="Y70">
        <v>110.8</v>
      </c>
      <c r="Z70">
        <v>113.7</v>
      </c>
      <c r="AA70">
        <v>119</v>
      </c>
      <c r="AB70">
        <v>109.1</v>
      </c>
      <c r="AC70">
        <v>113.8</v>
      </c>
      <c r="AD70">
        <v>120.1</v>
      </c>
    </row>
    <row r="71" spans="1:30">
      <c r="A71" t="s">
        <v>30</v>
      </c>
      <c r="B71">
        <v>2014</v>
      </c>
      <c r="C71" t="s">
        <v>55</v>
      </c>
      <c r="D71">
        <v>122.4</v>
      </c>
      <c r="E71">
        <v>122.4</v>
      </c>
      <c r="F71">
        <v>121.8</v>
      </c>
      <c r="G71">
        <v>124.2</v>
      </c>
      <c r="H71">
        <v>110.2</v>
      </c>
      <c r="I71">
        <v>128.6</v>
      </c>
      <c r="J71">
        <v>140.30000000000001</v>
      </c>
      <c r="K71">
        <v>116.3</v>
      </c>
      <c r="L71">
        <v>102</v>
      </c>
      <c r="M71">
        <v>116</v>
      </c>
      <c r="N71">
        <v>117.3</v>
      </c>
      <c r="O71">
        <v>124.8</v>
      </c>
      <c r="P71">
        <v>123.3</v>
      </c>
      <c r="Q71">
        <v>121.7</v>
      </c>
      <c r="R71">
        <v>123.8</v>
      </c>
      <c r="S71">
        <v>120.6</v>
      </c>
      <c r="T71">
        <v>123.3</v>
      </c>
      <c r="U71" t="s">
        <v>32</v>
      </c>
      <c r="V71">
        <v>117.4</v>
      </c>
      <c r="W71">
        <v>118.2</v>
      </c>
      <c r="X71">
        <v>116.2</v>
      </c>
      <c r="Y71">
        <v>111.5</v>
      </c>
      <c r="Z71">
        <v>113.3</v>
      </c>
      <c r="AA71">
        <v>117.7</v>
      </c>
      <c r="AB71">
        <v>109.4</v>
      </c>
      <c r="AC71">
        <v>114.2</v>
      </c>
      <c r="AD71">
        <v>120.3</v>
      </c>
    </row>
    <row r="72" spans="1:30">
      <c r="A72" t="s">
        <v>33</v>
      </c>
      <c r="B72">
        <v>2014</v>
      </c>
      <c r="C72" t="s">
        <v>55</v>
      </c>
      <c r="D72">
        <v>124</v>
      </c>
      <c r="E72">
        <v>124.7</v>
      </c>
      <c r="F72">
        <v>126.3</v>
      </c>
      <c r="G72">
        <v>124.9</v>
      </c>
      <c r="H72">
        <v>103</v>
      </c>
      <c r="I72">
        <v>122.3</v>
      </c>
      <c r="J72">
        <v>141</v>
      </c>
      <c r="K72">
        <v>120.1</v>
      </c>
      <c r="L72">
        <v>97.8</v>
      </c>
      <c r="M72">
        <v>125.4</v>
      </c>
      <c r="N72">
        <v>116.1</v>
      </c>
      <c r="O72">
        <v>127.6</v>
      </c>
      <c r="P72">
        <v>124</v>
      </c>
      <c r="Q72">
        <v>126.4</v>
      </c>
      <c r="R72">
        <v>120.7</v>
      </c>
      <c r="S72">
        <v>115.8</v>
      </c>
      <c r="T72">
        <v>120</v>
      </c>
      <c r="U72" t="s">
        <v>68</v>
      </c>
      <c r="V72">
        <v>113</v>
      </c>
      <c r="W72">
        <v>116.8</v>
      </c>
      <c r="X72">
        <v>113.2</v>
      </c>
      <c r="Y72">
        <v>108.8</v>
      </c>
      <c r="Z72">
        <v>114.3</v>
      </c>
      <c r="AA72">
        <v>120.7</v>
      </c>
      <c r="AB72">
        <v>110.4</v>
      </c>
      <c r="AC72">
        <v>113.4</v>
      </c>
      <c r="AD72">
        <v>118.4</v>
      </c>
    </row>
    <row r="73" spans="1:30">
      <c r="A73" t="s">
        <v>35</v>
      </c>
      <c r="B73">
        <v>2014</v>
      </c>
      <c r="C73" t="s">
        <v>55</v>
      </c>
      <c r="D73">
        <v>122.9</v>
      </c>
      <c r="E73">
        <v>123.2</v>
      </c>
      <c r="F73">
        <v>123.5</v>
      </c>
      <c r="G73">
        <v>124.5</v>
      </c>
      <c r="H73">
        <v>107.6</v>
      </c>
      <c r="I73">
        <v>125.7</v>
      </c>
      <c r="J73">
        <v>140.5</v>
      </c>
      <c r="K73">
        <v>117.6</v>
      </c>
      <c r="L73">
        <v>100.6</v>
      </c>
      <c r="M73">
        <v>119.1</v>
      </c>
      <c r="N73">
        <v>116.8</v>
      </c>
      <c r="O73">
        <v>126.1</v>
      </c>
      <c r="P73">
        <v>123.6</v>
      </c>
      <c r="Q73">
        <v>123</v>
      </c>
      <c r="R73">
        <v>122.6</v>
      </c>
      <c r="S73">
        <v>118.6</v>
      </c>
      <c r="T73">
        <v>122</v>
      </c>
      <c r="U73" t="s">
        <v>68</v>
      </c>
      <c r="V73">
        <v>115.7</v>
      </c>
      <c r="W73">
        <v>117.5</v>
      </c>
      <c r="X73">
        <v>115.1</v>
      </c>
      <c r="Y73">
        <v>110.1</v>
      </c>
      <c r="Z73">
        <v>113.9</v>
      </c>
      <c r="AA73">
        <v>119.5</v>
      </c>
      <c r="AB73">
        <v>109.8</v>
      </c>
      <c r="AC73">
        <v>113.8</v>
      </c>
      <c r="AD73">
        <v>119.4</v>
      </c>
    </row>
    <row r="74" spans="1:30">
      <c r="A74" t="s">
        <v>30</v>
      </c>
      <c r="B74">
        <v>2015</v>
      </c>
      <c r="C74" t="s">
        <v>31</v>
      </c>
      <c r="D74">
        <v>123.1</v>
      </c>
      <c r="E74">
        <v>123.1</v>
      </c>
      <c r="F74">
        <v>122.1</v>
      </c>
      <c r="G74">
        <v>124.9</v>
      </c>
      <c r="H74">
        <v>111</v>
      </c>
      <c r="I74">
        <v>130.4</v>
      </c>
      <c r="J74">
        <v>132.30000000000001</v>
      </c>
      <c r="K74">
        <v>117.2</v>
      </c>
      <c r="L74">
        <v>100.5</v>
      </c>
      <c r="M74">
        <v>117.2</v>
      </c>
      <c r="N74">
        <v>117.9</v>
      </c>
      <c r="O74">
        <v>125.6</v>
      </c>
      <c r="P74">
        <v>122.8</v>
      </c>
      <c r="Q74">
        <v>122.7</v>
      </c>
      <c r="R74">
        <v>124.4</v>
      </c>
      <c r="S74">
        <v>121.6</v>
      </c>
      <c r="T74">
        <v>124</v>
      </c>
      <c r="U74" t="s">
        <v>32</v>
      </c>
      <c r="V74">
        <v>118.4</v>
      </c>
      <c r="W74">
        <v>118.9</v>
      </c>
      <c r="X74">
        <v>116.6</v>
      </c>
      <c r="Y74">
        <v>111</v>
      </c>
      <c r="Z74">
        <v>114</v>
      </c>
      <c r="AA74">
        <v>118.2</v>
      </c>
      <c r="AB74">
        <v>110.2</v>
      </c>
      <c r="AC74">
        <v>114.5</v>
      </c>
      <c r="AD74">
        <v>120.3</v>
      </c>
    </row>
    <row r="75" spans="1:30">
      <c r="A75" t="s">
        <v>33</v>
      </c>
      <c r="B75">
        <v>2015</v>
      </c>
      <c r="C75" t="s">
        <v>31</v>
      </c>
      <c r="D75">
        <v>124</v>
      </c>
      <c r="E75">
        <v>125.5</v>
      </c>
      <c r="F75">
        <v>126.6</v>
      </c>
      <c r="G75">
        <v>125.2</v>
      </c>
      <c r="H75">
        <v>104.3</v>
      </c>
      <c r="I75">
        <v>121.3</v>
      </c>
      <c r="J75">
        <v>134.4</v>
      </c>
      <c r="K75">
        <v>122.9</v>
      </c>
      <c r="L75">
        <v>96.1</v>
      </c>
      <c r="M75">
        <v>126.6</v>
      </c>
      <c r="N75">
        <v>116.5</v>
      </c>
      <c r="O75">
        <v>128</v>
      </c>
      <c r="P75">
        <v>123.5</v>
      </c>
      <c r="Q75">
        <v>127.4</v>
      </c>
      <c r="R75">
        <v>121</v>
      </c>
      <c r="S75">
        <v>116.1</v>
      </c>
      <c r="T75">
        <v>120.2</v>
      </c>
      <c r="U75" t="s">
        <v>69</v>
      </c>
      <c r="V75">
        <v>113.4</v>
      </c>
      <c r="W75">
        <v>117.2</v>
      </c>
      <c r="X75">
        <v>113.7</v>
      </c>
      <c r="Y75">
        <v>107.9</v>
      </c>
      <c r="Z75">
        <v>114.6</v>
      </c>
      <c r="AA75">
        <v>120.8</v>
      </c>
      <c r="AB75">
        <v>111.4</v>
      </c>
      <c r="AC75">
        <v>113.4</v>
      </c>
      <c r="AD75">
        <v>118.5</v>
      </c>
    </row>
    <row r="76" spans="1:30">
      <c r="A76" t="s">
        <v>35</v>
      </c>
      <c r="B76">
        <v>2015</v>
      </c>
      <c r="C76" t="s">
        <v>31</v>
      </c>
      <c r="D76">
        <v>123.4</v>
      </c>
      <c r="E76">
        <v>123.9</v>
      </c>
      <c r="F76">
        <v>123.8</v>
      </c>
      <c r="G76">
        <v>125</v>
      </c>
      <c r="H76">
        <v>108.5</v>
      </c>
      <c r="I76">
        <v>126.2</v>
      </c>
      <c r="J76">
        <v>133</v>
      </c>
      <c r="K76">
        <v>119.1</v>
      </c>
      <c r="L76">
        <v>99</v>
      </c>
      <c r="M76">
        <v>120.3</v>
      </c>
      <c r="N76">
        <v>117.3</v>
      </c>
      <c r="O76">
        <v>126.7</v>
      </c>
      <c r="P76">
        <v>123.1</v>
      </c>
      <c r="Q76">
        <v>124</v>
      </c>
      <c r="R76">
        <v>123.1</v>
      </c>
      <c r="S76">
        <v>119.3</v>
      </c>
      <c r="T76">
        <v>122.5</v>
      </c>
      <c r="U76" t="s">
        <v>69</v>
      </c>
      <c r="V76">
        <v>116.5</v>
      </c>
      <c r="W76">
        <v>118.1</v>
      </c>
      <c r="X76">
        <v>115.5</v>
      </c>
      <c r="Y76">
        <v>109.4</v>
      </c>
      <c r="Z76">
        <v>114.3</v>
      </c>
      <c r="AA76">
        <v>119.7</v>
      </c>
      <c r="AB76">
        <v>110.7</v>
      </c>
      <c r="AC76">
        <v>114</v>
      </c>
      <c r="AD76">
        <v>119.5</v>
      </c>
    </row>
    <row r="77" spans="1:30">
      <c r="A77" t="s">
        <v>30</v>
      </c>
      <c r="B77">
        <v>2015</v>
      </c>
      <c r="C77" t="s">
        <v>36</v>
      </c>
      <c r="D77">
        <v>123.4</v>
      </c>
      <c r="E77">
        <v>124.4</v>
      </c>
      <c r="F77">
        <v>122.1</v>
      </c>
      <c r="G77">
        <v>125.8</v>
      </c>
      <c r="H77">
        <v>111.5</v>
      </c>
      <c r="I77">
        <v>129.4</v>
      </c>
      <c r="J77">
        <v>128.19999999999999</v>
      </c>
      <c r="K77">
        <v>118.8</v>
      </c>
      <c r="L77">
        <v>100</v>
      </c>
      <c r="M77">
        <v>118.6</v>
      </c>
      <c r="N77">
        <v>118.8</v>
      </c>
      <c r="O77">
        <v>126.8</v>
      </c>
      <c r="P77">
        <v>122.8</v>
      </c>
      <c r="Q77">
        <v>124.2</v>
      </c>
      <c r="R77">
        <v>125.4</v>
      </c>
      <c r="S77">
        <v>122.7</v>
      </c>
      <c r="T77">
        <v>125</v>
      </c>
      <c r="U77" t="s">
        <v>32</v>
      </c>
      <c r="V77">
        <v>120</v>
      </c>
      <c r="W77">
        <v>119.6</v>
      </c>
      <c r="X77">
        <v>117.7</v>
      </c>
      <c r="Y77">
        <v>110.9</v>
      </c>
      <c r="Z77">
        <v>114.8</v>
      </c>
      <c r="AA77">
        <v>118.7</v>
      </c>
      <c r="AB77">
        <v>110.8</v>
      </c>
      <c r="AC77">
        <v>115</v>
      </c>
      <c r="AD77">
        <v>120.6</v>
      </c>
    </row>
    <row r="78" spans="1:30">
      <c r="A78" t="s">
        <v>33</v>
      </c>
      <c r="B78">
        <v>2015</v>
      </c>
      <c r="C78" t="s">
        <v>36</v>
      </c>
      <c r="D78">
        <v>124.3</v>
      </c>
      <c r="E78">
        <v>126.5</v>
      </c>
      <c r="F78">
        <v>119.5</v>
      </c>
      <c r="G78">
        <v>125.6</v>
      </c>
      <c r="H78">
        <v>104.9</v>
      </c>
      <c r="I78">
        <v>121.6</v>
      </c>
      <c r="J78">
        <v>131.80000000000001</v>
      </c>
      <c r="K78">
        <v>125.1</v>
      </c>
      <c r="L78">
        <v>95</v>
      </c>
      <c r="M78">
        <v>127.7</v>
      </c>
      <c r="N78">
        <v>116.8</v>
      </c>
      <c r="O78">
        <v>128.6</v>
      </c>
      <c r="P78">
        <v>123.7</v>
      </c>
      <c r="Q78">
        <v>128.1</v>
      </c>
      <c r="R78">
        <v>121.3</v>
      </c>
      <c r="S78">
        <v>116.5</v>
      </c>
      <c r="T78">
        <v>120.6</v>
      </c>
      <c r="U78" t="s">
        <v>70</v>
      </c>
      <c r="V78">
        <v>114</v>
      </c>
      <c r="W78">
        <v>117.7</v>
      </c>
      <c r="X78">
        <v>114.1</v>
      </c>
      <c r="Y78">
        <v>106.8</v>
      </c>
      <c r="Z78">
        <v>114.9</v>
      </c>
      <c r="AA78">
        <v>120.4</v>
      </c>
      <c r="AB78">
        <v>111.7</v>
      </c>
      <c r="AC78">
        <v>113.2</v>
      </c>
      <c r="AD78">
        <v>118.7</v>
      </c>
    </row>
    <row r="79" spans="1:30">
      <c r="A79" t="s">
        <v>35</v>
      </c>
      <c r="B79">
        <v>2015</v>
      </c>
      <c r="C79" t="s">
        <v>36</v>
      </c>
      <c r="D79">
        <v>123.7</v>
      </c>
      <c r="E79">
        <v>125.1</v>
      </c>
      <c r="F79">
        <v>121.1</v>
      </c>
      <c r="G79">
        <v>125.7</v>
      </c>
      <c r="H79">
        <v>109.1</v>
      </c>
      <c r="I79">
        <v>125.8</v>
      </c>
      <c r="J79">
        <v>129.4</v>
      </c>
      <c r="K79">
        <v>120.9</v>
      </c>
      <c r="L79">
        <v>98.3</v>
      </c>
      <c r="M79">
        <v>121.6</v>
      </c>
      <c r="N79">
        <v>118</v>
      </c>
      <c r="O79">
        <v>127.6</v>
      </c>
      <c r="P79">
        <v>123.1</v>
      </c>
      <c r="Q79">
        <v>125.2</v>
      </c>
      <c r="R79">
        <v>123.8</v>
      </c>
      <c r="S79">
        <v>120.1</v>
      </c>
      <c r="T79">
        <v>123.3</v>
      </c>
      <c r="U79" t="s">
        <v>70</v>
      </c>
      <c r="V79">
        <v>117.7</v>
      </c>
      <c r="W79">
        <v>118.7</v>
      </c>
      <c r="X79">
        <v>116.3</v>
      </c>
      <c r="Y79">
        <v>108.7</v>
      </c>
      <c r="Z79">
        <v>114.9</v>
      </c>
      <c r="AA79">
        <v>119.7</v>
      </c>
      <c r="AB79">
        <v>111.2</v>
      </c>
      <c r="AC79">
        <v>114.1</v>
      </c>
      <c r="AD79">
        <v>119.7</v>
      </c>
    </row>
    <row r="80" spans="1:30">
      <c r="A80" t="s">
        <v>30</v>
      </c>
      <c r="B80">
        <v>2015</v>
      </c>
      <c r="C80" t="s">
        <v>38</v>
      </c>
      <c r="D80">
        <v>123.3</v>
      </c>
      <c r="E80">
        <v>124.7</v>
      </c>
      <c r="F80">
        <v>118.9</v>
      </c>
      <c r="G80">
        <v>126</v>
      </c>
      <c r="H80">
        <v>111.8</v>
      </c>
      <c r="I80">
        <v>130.9</v>
      </c>
      <c r="J80">
        <v>128</v>
      </c>
      <c r="K80">
        <v>119.9</v>
      </c>
      <c r="L80">
        <v>98.9</v>
      </c>
      <c r="M80">
        <v>119.4</v>
      </c>
      <c r="N80">
        <v>118.9</v>
      </c>
      <c r="O80">
        <v>127.7</v>
      </c>
      <c r="P80">
        <v>123.1</v>
      </c>
      <c r="Q80">
        <v>124.7</v>
      </c>
      <c r="R80">
        <v>126</v>
      </c>
      <c r="S80">
        <v>122.9</v>
      </c>
      <c r="T80">
        <v>125.5</v>
      </c>
      <c r="U80" t="s">
        <v>32</v>
      </c>
      <c r="V80">
        <v>120.6</v>
      </c>
      <c r="W80">
        <v>120.2</v>
      </c>
      <c r="X80">
        <v>118.2</v>
      </c>
      <c r="Y80">
        <v>111.6</v>
      </c>
      <c r="Z80">
        <v>115.5</v>
      </c>
      <c r="AA80">
        <v>119.4</v>
      </c>
      <c r="AB80">
        <v>110.8</v>
      </c>
      <c r="AC80">
        <v>115.5</v>
      </c>
      <c r="AD80">
        <v>121.1</v>
      </c>
    </row>
    <row r="81" spans="1:30">
      <c r="A81" t="s">
        <v>33</v>
      </c>
      <c r="B81">
        <v>2015</v>
      </c>
      <c r="C81" t="s">
        <v>38</v>
      </c>
      <c r="D81">
        <v>124</v>
      </c>
      <c r="E81">
        <v>126.7</v>
      </c>
      <c r="F81">
        <v>113.5</v>
      </c>
      <c r="G81">
        <v>125.9</v>
      </c>
      <c r="H81">
        <v>104.8</v>
      </c>
      <c r="I81">
        <v>123.8</v>
      </c>
      <c r="J81">
        <v>131.4</v>
      </c>
      <c r="K81">
        <v>127.2</v>
      </c>
      <c r="L81">
        <v>93.2</v>
      </c>
      <c r="M81">
        <v>127.4</v>
      </c>
      <c r="N81">
        <v>117</v>
      </c>
      <c r="O81">
        <v>129.19999999999999</v>
      </c>
      <c r="P81">
        <v>123.9</v>
      </c>
      <c r="Q81">
        <v>128.80000000000001</v>
      </c>
      <c r="R81">
        <v>121.7</v>
      </c>
      <c r="S81">
        <v>116.9</v>
      </c>
      <c r="T81">
        <v>120.9</v>
      </c>
      <c r="U81" t="s">
        <v>71</v>
      </c>
      <c r="V81">
        <v>114.4</v>
      </c>
      <c r="W81">
        <v>118</v>
      </c>
      <c r="X81">
        <v>114.3</v>
      </c>
      <c r="Y81">
        <v>108.4</v>
      </c>
      <c r="Z81">
        <v>115.4</v>
      </c>
      <c r="AA81">
        <v>120.6</v>
      </c>
      <c r="AB81">
        <v>111.3</v>
      </c>
      <c r="AC81">
        <v>113.8</v>
      </c>
      <c r="AD81">
        <v>119.1</v>
      </c>
    </row>
    <row r="82" spans="1:30">
      <c r="A82" t="s">
        <v>35</v>
      </c>
      <c r="B82">
        <v>2015</v>
      </c>
      <c r="C82" t="s">
        <v>38</v>
      </c>
      <c r="D82">
        <v>123.5</v>
      </c>
      <c r="E82">
        <v>125.4</v>
      </c>
      <c r="F82">
        <v>116.8</v>
      </c>
      <c r="G82">
        <v>126</v>
      </c>
      <c r="H82">
        <v>109.2</v>
      </c>
      <c r="I82">
        <v>127.6</v>
      </c>
      <c r="J82">
        <v>129.19999999999999</v>
      </c>
      <c r="K82">
        <v>122.4</v>
      </c>
      <c r="L82">
        <v>97</v>
      </c>
      <c r="M82">
        <v>122.1</v>
      </c>
      <c r="N82">
        <v>118.1</v>
      </c>
      <c r="O82">
        <v>128.4</v>
      </c>
      <c r="P82">
        <v>123.4</v>
      </c>
      <c r="Q82">
        <v>125.8</v>
      </c>
      <c r="R82">
        <v>124.3</v>
      </c>
      <c r="S82">
        <v>120.4</v>
      </c>
      <c r="T82">
        <v>123.7</v>
      </c>
      <c r="U82" t="s">
        <v>71</v>
      </c>
      <c r="V82">
        <v>118.3</v>
      </c>
      <c r="W82">
        <v>119.2</v>
      </c>
      <c r="X82">
        <v>116.7</v>
      </c>
      <c r="Y82">
        <v>109.9</v>
      </c>
      <c r="Z82">
        <v>115.4</v>
      </c>
      <c r="AA82">
        <v>120.1</v>
      </c>
      <c r="AB82">
        <v>111</v>
      </c>
      <c r="AC82">
        <v>114.7</v>
      </c>
      <c r="AD82">
        <v>120.2</v>
      </c>
    </row>
    <row r="83" spans="1:30">
      <c r="A83" t="s">
        <v>30</v>
      </c>
      <c r="B83">
        <v>2015</v>
      </c>
      <c r="C83" t="s">
        <v>39</v>
      </c>
      <c r="D83">
        <v>123.3</v>
      </c>
      <c r="E83">
        <v>125.5</v>
      </c>
      <c r="F83">
        <v>117.2</v>
      </c>
      <c r="G83">
        <v>126.8</v>
      </c>
      <c r="H83">
        <v>111.9</v>
      </c>
      <c r="I83">
        <v>134.19999999999999</v>
      </c>
      <c r="J83">
        <v>127.5</v>
      </c>
      <c r="K83">
        <v>121.5</v>
      </c>
      <c r="L83">
        <v>97.8</v>
      </c>
      <c r="M83">
        <v>119.8</v>
      </c>
      <c r="N83">
        <v>119.4</v>
      </c>
      <c r="O83">
        <v>128.69999999999999</v>
      </c>
      <c r="P83">
        <v>123.6</v>
      </c>
      <c r="Q83">
        <v>125.7</v>
      </c>
      <c r="R83">
        <v>126.4</v>
      </c>
      <c r="S83">
        <v>123.3</v>
      </c>
      <c r="T83">
        <v>126</v>
      </c>
      <c r="U83" t="s">
        <v>32</v>
      </c>
      <c r="V83">
        <v>121.2</v>
      </c>
      <c r="W83">
        <v>120.9</v>
      </c>
      <c r="X83">
        <v>118.6</v>
      </c>
      <c r="Y83">
        <v>111.9</v>
      </c>
      <c r="Z83">
        <v>116.2</v>
      </c>
      <c r="AA83">
        <v>119.9</v>
      </c>
      <c r="AB83">
        <v>111.6</v>
      </c>
      <c r="AC83">
        <v>116</v>
      </c>
      <c r="AD83">
        <v>121.5</v>
      </c>
    </row>
    <row r="84" spans="1:30">
      <c r="A84" t="s">
        <v>33</v>
      </c>
      <c r="B84">
        <v>2015</v>
      </c>
      <c r="C84" t="s">
        <v>39</v>
      </c>
      <c r="D84">
        <v>123.8</v>
      </c>
      <c r="E84">
        <v>128.19999999999999</v>
      </c>
      <c r="F84">
        <v>110</v>
      </c>
      <c r="G84">
        <v>126.3</v>
      </c>
      <c r="H84">
        <v>104.5</v>
      </c>
      <c r="I84">
        <v>130.6</v>
      </c>
      <c r="J84">
        <v>130.80000000000001</v>
      </c>
      <c r="K84">
        <v>131.30000000000001</v>
      </c>
      <c r="L84">
        <v>91.6</v>
      </c>
      <c r="M84">
        <v>127.7</v>
      </c>
      <c r="N84">
        <v>117.2</v>
      </c>
      <c r="O84">
        <v>129.5</v>
      </c>
      <c r="P84">
        <v>124.6</v>
      </c>
      <c r="Q84">
        <v>130.1</v>
      </c>
      <c r="R84">
        <v>122.1</v>
      </c>
      <c r="S84">
        <v>117.2</v>
      </c>
      <c r="T84">
        <v>121.3</v>
      </c>
      <c r="U84" t="s">
        <v>72</v>
      </c>
      <c r="V84">
        <v>114.7</v>
      </c>
      <c r="W84">
        <v>118.4</v>
      </c>
      <c r="X84">
        <v>114.6</v>
      </c>
      <c r="Y84">
        <v>108.4</v>
      </c>
      <c r="Z84">
        <v>115.6</v>
      </c>
      <c r="AA84">
        <v>121.7</v>
      </c>
      <c r="AB84">
        <v>111.8</v>
      </c>
      <c r="AC84">
        <v>114.2</v>
      </c>
      <c r="AD84">
        <v>119.7</v>
      </c>
    </row>
    <row r="85" spans="1:30">
      <c r="A85" t="s">
        <v>35</v>
      </c>
      <c r="B85">
        <v>2015</v>
      </c>
      <c r="C85" t="s">
        <v>39</v>
      </c>
      <c r="D85">
        <v>123.5</v>
      </c>
      <c r="E85">
        <v>126.4</v>
      </c>
      <c r="F85">
        <v>114.4</v>
      </c>
      <c r="G85">
        <v>126.6</v>
      </c>
      <c r="H85">
        <v>109.2</v>
      </c>
      <c r="I85">
        <v>132.5</v>
      </c>
      <c r="J85">
        <v>128.6</v>
      </c>
      <c r="K85">
        <v>124.8</v>
      </c>
      <c r="L85">
        <v>95.7</v>
      </c>
      <c r="M85">
        <v>122.4</v>
      </c>
      <c r="N85">
        <v>118.5</v>
      </c>
      <c r="O85">
        <v>129.1</v>
      </c>
      <c r="P85">
        <v>124</v>
      </c>
      <c r="Q85">
        <v>126.9</v>
      </c>
      <c r="R85">
        <v>124.7</v>
      </c>
      <c r="S85">
        <v>120.8</v>
      </c>
      <c r="T85">
        <v>124.1</v>
      </c>
      <c r="U85" t="s">
        <v>72</v>
      </c>
      <c r="V85">
        <v>118.7</v>
      </c>
      <c r="W85">
        <v>119.7</v>
      </c>
      <c r="X85">
        <v>117.1</v>
      </c>
      <c r="Y85">
        <v>110.1</v>
      </c>
      <c r="Z85">
        <v>115.9</v>
      </c>
      <c r="AA85">
        <v>121</v>
      </c>
      <c r="AB85">
        <v>111.7</v>
      </c>
      <c r="AC85">
        <v>115.1</v>
      </c>
      <c r="AD85">
        <v>120.7</v>
      </c>
    </row>
    <row r="86" spans="1:30">
      <c r="A86" t="s">
        <v>30</v>
      </c>
      <c r="B86">
        <v>2015</v>
      </c>
      <c r="C86" t="s">
        <v>41</v>
      </c>
      <c r="D86">
        <v>123.5</v>
      </c>
      <c r="E86">
        <v>127.1</v>
      </c>
      <c r="F86">
        <v>117.3</v>
      </c>
      <c r="G86">
        <v>127.7</v>
      </c>
      <c r="H86">
        <v>112.5</v>
      </c>
      <c r="I86">
        <v>134.1</v>
      </c>
      <c r="J86">
        <v>128.5</v>
      </c>
      <c r="K86">
        <v>124.3</v>
      </c>
      <c r="L86">
        <v>97.6</v>
      </c>
      <c r="M86">
        <v>120.7</v>
      </c>
      <c r="N86">
        <v>120.2</v>
      </c>
      <c r="O86">
        <v>129.80000000000001</v>
      </c>
      <c r="P86">
        <v>124.4</v>
      </c>
      <c r="Q86">
        <v>126.7</v>
      </c>
      <c r="R86">
        <v>127.3</v>
      </c>
      <c r="S86">
        <v>124.1</v>
      </c>
      <c r="T86">
        <v>126.8</v>
      </c>
      <c r="U86" t="s">
        <v>32</v>
      </c>
      <c r="V86">
        <v>121.9</v>
      </c>
      <c r="W86">
        <v>121.5</v>
      </c>
      <c r="X86">
        <v>119.4</v>
      </c>
      <c r="Y86">
        <v>113.3</v>
      </c>
      <c r="Z86">
        <v>116.7</v>
      </c>
      <c r="AA86">
        <v>120.5</v>
      </c>
      <c r="AB86">
        <v>112.3</v>
      </c>
      <c r="AC86">
        <v>116.9</v>
      </c>
      <c r="AD86">
        <v>122.4</v>
      </c>
    </row>
    <row r="87" spans="1:30">
      <c r="A87" t="s">
        <v>33</v>
      </c>
      <c r="B87">
        <v>2015</v>
      </c>
      <c r="C87" t="s">
        <v>41</v>
      </c>
      <c r="D87">
        <v>123.8</v>
      </c>
      <c r="E87">
        <v>129.69999999999999</v>
      </c>
      <c r="F87">
        <v>111.3</v>
      </c>
      <c r="G87">
        <v>126.6</v>
      </c>
      <c r="H87">
        <v>105.2</v>
      </c>
      <c r="I87">
        <v>130.80000000000001</v>
      </c>
      <c r="J87">
        <v>135.6</v>
      </c>
      <c r="K87">
        <v>142.6</v>
      </c>
      <c r="L87">
        <v>90.8</v>
      </c>
      <c r="M87">
        <v>128.80000000000001</v>
      </c>
      <c r="N87">
        <v>117.7</v>
      </c>
      <c r="O87">
        <v>129.9</v>
      </c>
      <c r="P87">
        <v>126.1</v>
      </c>
      <c r="Q87">
        <v>131.30000000000001</v>
      </c>
      <c r="R87">
        <v>122.4</v>
      </c>
      <c r="S87">
        <v>117.4</v>
      </c>
      <c r="T87">
        <v>121.6</v>
      </c>
      <c r="U87" t="s">
        <v>73</v>
      </c>
      <c r="V87">
        <v>114.9</v>
      </c>
      <c r="W87">
        <v>118.7</v>
      </c>
      <c r="X87">
        <v>114.9</v>
      </c>
      <c r="Y87">
        <v>110.8</v>
      </c>
      <c r="Z87">
        <v>116</v>
      </c>
      <c r="AA87">
        <v>122</v>
      </c>
      <c r="AB87">
        <v>112.4</v>
      </c>
      <c r="AC87">
        <v>115.2</v>
      </c>
      <c r="AD87">
        <v>120.7</v>
      </c>
    </row>
    <row r="88" spans="1:30">
      <c r="A88" t="s">
        <v>35</v>
      </c>
      <c r="B88">
        <v>2015</v>
      </c>
      <c r="C88" t="s">
        <v>41</v>
      </c>
      <c r="D88">
        <v>123.6</v>
      </c>
      <c r="E88">
        <v>128</v>
      </c>
      <c r="F88">
        <v>115</v>
      </c>
      <c r="G88">
        <v>127.3</v>
      </c>
      <c r="H88">
        <v>109.8</v>
      </c>
      <c r="I88">
        <v>132.6</v>
      </c>
      <c r="J88">
        <v>130.9</v>
      </c>
      <c r="K88">
        <v>130.5</v>
      </c>
      <c r="L88">
        <v>95.3</v>
      </c>
      <c r="M88">
        <v>123.4</v>
      </c>
      <c r="N88">
        <v>119.2</v>
      </c>
      <c r="O88">
        <v>129.80000000000001</v>
      </c>
      <c r="P88">
        <v>125</v>
      </c>
      <c r="Q88">
        <v>127.9</v>
      </c>
      <c r="R88">
        <v>125.4</v>
      </c>
      <c r="S88">
        <v>121.3</v>
      </c>
      <c r="T88">
        <v>124.7</v>
      </c>
      <c r="U88" t="s">
        <v>73</v>
      </c>
      <c r="V88">
        <v>119.2</v>
      </c>
      <c r="W88">
        <v>120.2</v>
      </c>
      <c r="X88">
        <v>117.7</v>
      </c>
      <c r="Y88">
        <v>112</v>
      </c>
      <c r="Z88">
        <v>116.3</v>
      </c>
      <c r="AA88">
        <v>121.4</v>
      </c>
      <c r="AB88">
        <v>112.3</v>
      </c>
      <c r="AC88">
        <v>116.1</v>
      </c>
      <c r="AD88">
        <v>121.6</v>
      </c>
    </row>
    <row r="89" spans="1:30">
      <c r="A89" t="s">
        <v>30</v>
      </c>
      <c r="B89">
        <v>2015</v>
      </c>
      <c r="C89" t="s">
        <v>42</v>
      </c>
      <c r="D89">
        <v>124.1</v>
      </c>
      <c r="E89">
        <v>130.4</v>
      </c>
      <c r="F89">
        <v>122.1</v>
      </c>
      <c r="G89">
        <v>128.69999999999999</v>
      </c>
      <c r="H89">
        <v>114.1</v>
      </c>
      <c r="I89">
        <v>133.19999999999999</v>
      </c>
      <c r="J89">
        <v>135.19999999999999</v>
      </c>
      <c r="K89">
        <v>131.9</v>
      </c>
      <c r="L89">
        <v>96.3</v>
      </c>
      <c r="M89">
        <v>123</v>
      </c>
      <c r="N89">
        <v>121.1</v>
      </c>
      <c r="O89">
        <v>131.19999999999999</v>
      </c>
      <c r="P89">
        <v>126.6</v>
      </c>
      <c r="Q89">
        <v>128.19999999999999</v>
      </c>
      <c r="R89">
        <v>128.4</v>
      </c>
      <c r="S89">
        <v>125.1</v>
      </c>
      <c r="T89">
        <v>128</v>
      </c>
      <c r="U89" t="s">
        <v>32</v>
      </c>
      <c r="V89">
        <v>122.6</v>
      </c>
      <c r="W89">
        <v>122.8</v>
      </c>
      <c r="X89">
        <v>120.4</v>
      </c>
      <c r="Y89">
        <v>114.2</v>
      </c>
      <c r="Z89">
        <v>117.9</v>
      </c>
      <c r="AA89">
        <v>122</v>
      </c>
      <c r="AB89">
        <v>113</v>
      </c>
      <c r="AC89">
        <v>117.9</v>
      </c>
      <c r="AD89">
        <v>124.1</v>
      </c>
    </row>
    <row r="90" spans="1:30">
      <c r="A90" t="s">
        <v>33</v>
      </c>
      <c r="B90">
        <v>2015</v>
      </c>
      <c r="C90" t="s">
        <v>42</v>
      </c>
      <c r="D90">
        <v>123.6</v>
      </c>
      <c r="E90">
        <v>134.4</v>
      </c>
      <c r="F90">
        <v>120.9</v>
      </c>
      <c r="G90">
        <v>127.3</v>
      </c>
      <c r="H90">
        <v>106</v>
      </c>
      <c r="I90">
        <v>132.30000000000001</v>
      </c>
      <c r="J90">
        <v>146.69999999999999</v>
      </c>
      <c r="K90">
        <v>148.1</v>
      </c>
      <c r="L90">
        <v>89.8</v>
      </c>
      <c r="M90">
        <v>130.5</v>
      </c>
      <c r="N90">
        <v>118</v>
      </c>
      <c r="O90">
        <v>130.5</v>
      </c>
      <c r="P90">
        <v>128.5</v>
      </c>
      <c r="Q90">
        <v>132.1</v>
      </c>
      <c r="R90">
        <v>123.2</v>
      </c>
      <c r="S90">
        <v>117.6</v>
      </c>
      <c r="T90">
        <v>122.3</v>
      </c>
      <c r="U90" t="s">
        <v>74</v>
      </c>
      <c r="V90">
        <v>115.1</v>
      </c>
      <c r="W90">
        <v>119.2</v>
      </c>
      <c r="X90">
        <v>115.4</v>
      </c>
      <c r="Y90">
        <v>111.7</v>
      </c>
      <c r="Z90">
        <v>116.2</v>
      </c>
      <c r="AA90">
        <v>123.8</v>
      </c>
      <c r="AB90">
        <v>112.5</v>
      </c>
      <c r="AC90">
        <v>116</v>
      </c>
      <c r="AD90">
        <v>121.7</v>
      </c>
    </row>
    <row r="91" spans="1:30">
      <c r="A91" t="s">
        <v>35</v>
      </c>
      <c r="B91">
        <v>2015</v>
      </c>
      <c r="C91" t="s">
        <v>42</v>
      </c>
      <c r="D91">
        <v>123.9</v>
      </c>
      <c r="E91">
        <v>131.80000000000001</v>
      </c>
      <c r="F91">
        <v>121.6</v>
      </c>
      <c r="G91">
        <v>128.19999999999999</v>
      </c>
      <c r="H91">
        <v>111.1</v>
      </c>
      <c r="I91">
        <v>132.80000000000001</v>
      </c>
      <c r="J91">
        <v>139.1</v>
      </c>
      <c r="K91">
        <v>137.4</v>
      </c>
      <c r="L91">
        <v>94.1</v>
      </c>
      <c r="M91">
        <v>125.5</v>
      </c>
      <c r="N91">
        <v>119.8</v>
      </c>
      <c r="O91">
        <v>130.9</v>
      </c>
      <c r="P91">
        <v>127.3</v>
      </c>
      <c r="Q91">
        <v>129.19999999999999</v>
      </c>
      <c r="R91">
        <v>126.4</v>
      </c>
      <c r="S91">
        <v>122</v>
      </c>
      <c r="T91">
        <v>125.7</v>
      </c>
      <c r="U91" t="s">
        <v>74</v>
      </c>
      <c r="V91">
        <v>119.8</v>
      </c>
      <c r="W91">
        <v>121.1</v>
      </c>
      <c r="X91">
        <v>118.5</v>
      </c>
      <c r="Y91">
        <v>112.9</v>
      </c>
      <c r="Z91">
        <v>116.9</v>
      </c>
      <c r="AA91">
        <v>123.1</v>
      </c>
      <c r="AB91">
        <v>112.8</v>
      </c>
      <c r="AC91">
        <v>117</v>
      </c>
      <c r="AD91">
        <v>123</v>
      </c>
    </row>
    <row r="92" spans="1:30">
      <c r="A92" t="s">
        <v>30</v>
      </c>
      <c r="B92">
        <v>2015</v>
      </c>
      <c r="C92" t="s">
        <v>44</v>
      </c>
      <c r="D92">
        <v>124</v>
      </c>
      <c r="E92">
        <v>131.5</v>
      </c>
      <c r="F92">
        <v>122</v>
      </c>
      <c r="G92">
        <v>128.69999999999999</v>
      </c>
      <c r="H92">
        <v>113.5</v>
      </c>
      <c r="I92">
        <v>133.30000000000001</v>
      </c>
      <c r="J92">
        <v>140.80000000000001</v>
      </c>
      <c r="K92">
        <v>133.80000000000001</v>
      </c>
      <c r="L92">
        <v>94.1</v>
      </c>
      <c r="M92">
        <v>123.4</v>
      </c>
      <c r="N92">
        <v>121</v>
      </c>
      <c r="O92">
        <v>131.69999999999999</v>
      </c>
      <c r="P92">
        <v>127.5</v>
      </c>
      <c r="Q92">
        <v>129.4</v>
      </c>
      <c r="R92">
        <v>128.80000000000001</v>
      </c>
      <c r="S92">
        <v>125.5</v>
      </c>
      <c r="T92">
        <v>128.30000000000001</v>
      </c>
      <c r="U92" t="s">
        <v>32</v>
      </c>
      <c r="V92">
        <v>123</v>
      </c>
      <c r="W92">
        <v>123</v>
      </c>
      <c r="X92">
        <v>120.8</v>
      </c>
      <c r="Y92">
        <v>114.1</v>
      </c>
      <c r="Z92">
        <v>118</v>
      </c>
      <c r="AA92">
        <v>122.9</v>
      </c>
      <c r="AB92">
        <v>112.7</v>
      </c>
      <c r="AC92">
        <v>118.1</v>
      </c>
      <c r="AD92">
        <v>124.7</v>
      </c>
    </row>
    <row r="93" spans="1:30">
      <c r="A93" t="s">
        <v>33</v>
      </c>
      <c r="B93">
        <v>2015</v>
      </c>
      <c r="C93" t="s">
        <v>44</v>
      </c>
      <c r="D93">
        <v>123.2</v>
      </c>
      <c r="E93">
        <v>134.30000000000001</v>
      </c>
      <c r="F93">
        <v>119.5</v>
      </c>
      <c r="G93">
        <v>127.7</v>
      </c>
      <c r="H93">
        <v>106.3</v>
      </c>
      <c r="I93">
        <v>132.80000000000001</v>
      </c>
      <c r="J93">
        <v>153.5</v>
      </c>
      <c r="K93">
        <v>149.5</v>
      </c>
      <c r="L93">
        <v>85.7</v>
      </c>
      <c r="M93">
        <v>131.5</v>
      </c>
      <c r="N93">
        <v>118.3</v>
      </c>
      <c r="O93">
        <v>131.1</v>
      </c>
      <c r="P93">
        <v>129.5</v>
      </c>
      <c r="Q93">
        <v>133.1</v>
      </c>
      <c r="R93">
        <v>123.5</v>
      </c>
      <c r="S93">
        <v>117.9</v>
      </c>
      <c r="T93">
        <v>122.7</v>
      </c>
      <c r="U93" t="s">
        <v>75</v>
      </c>
      <c r="V93">
        <v>115.3</v>
      </c>
      <c r="W93">
        <v>119.5</v>
      </c>
      <c r="X93">
        <v>116</v>
      </c>
      <c r="Y93">
        <v>111.5</v>
      </c>
      <c r="Z93">
        <v>116.6</v>
      </c>
      <c r="AA93">
        <v>125.4</v>
      </c>
      <c r="AB93">
        <v>111.7</v>
      </c>
      <c r="AC93">
        <v>116.3</v>
      </c>
      <c r="AD93">
        <v>122.4</v>
      </c>
    </row>
    <row r="94" spans="1:30">
      <c r="A94" t="s">
        <v>35</v>
      </c>
      <c r="B94">
        <v>2015</v>
      </c>
      <c r="C94" t="s">
        <v>44</v>
      </c>
      <c r="D94">
        <v>123.7</v>
      </c>
      <c r="E94">
        <v>132.5</v>
      </c>
      <c r="F94">
        <v>121</v>
      </c>
      <c r="G94">
        <v>128.30000000000001</v>
      </c>
      <c r="H94">
        <v>110.9</v>
      </c>
      <c r="I94">
        <v>133.1</v>
      </c>
      <c r="J94">
        <v>145.1</v>
      </c>
      <c r="K94">
        <v>139.1</v>
      </c>
      <c r="L94">
        <v>91.3</v>
      </c>
      <c r="M94">
        <v>126.1</v>
      </c>
      <c r="N94">
        <v>119.9</v>
      </c>
      <c r="O94">
        <v>131.4</v>
      </c>
      <c r="P94">
        <v>128.19999999999999</v>
      </c>
      <c r="Q94">
        <v>130.4</v>
      </c>
      <c r="R94">
        <v>126.7</v>
      </c>
      <c r="S94">
        <v>122.3</v>
      </c>
      <c r="T94">
        <v>126.1</v>
      </c>
      <c r="U94" t="s">
        <v>75</v>
      </c>
      <c r="V94">
        <v>120.1</v>
      </c>
      <c r="W94">
        <v>121.3</v>
      </c>
      <c r="X94">
        <v>119</v>
      </c>
      <c r="Y94">
        <v>112.7</v>
      </c>
      <c r="Z94">
        <v>117.2</v>
      </c>
      <c r="AA94">
        <v>124.4</v>
      </c>
      <c r="AB94">
        <v>112.3</v>
      </c>
      <c r="AC94">
        <v>117.2</v>
      </c>
      <c r="AD94">
        <v>123.6</v>
      </c>
    </row>
    <row r="95" spans="1:30">
      <c r="A95" t="s">
        <v>30</v>
      </c>
      <c r="B95">
        <v>2015</v>
      </c>
      <c r="C95" t="s">
        <v>46</v>
      </c>
      <c r="D95">
        <v>124.7</v>
      </c>
      <c r="E95">
        <v>131.30000000000001</v>
      </c>
      <c r="F95">
        <v>121.3</v>
      </c>
      <c r="G95">
        <v>128.80000000000001</v>
      </c>
      <c r="H95">
        <v>114</v>
      </c>
      <c r="I95">
        <v>134.19999999999999</v>
      </c>
      <c r="J95">
        <v>153.6</v>
      </c>
      <c r="K95">
        <v>137.9</v>
      </c>
      <c r="L95">
        <v>93.1</v>
      </c>
      <c r="M95">
        <v>123.9</v>
      </c>
      <c r="N95">
        <v>121.5</v>
      </c>
      <c r="O95">
        <v>132.5</v>
      </c>
      <c r="P95">
        <v>129.80000000000001</v>
      </c>
      <c r="Q95">
        <v>130.1</v>
      </c>
      <c r="R95">
        <v>129.5</v>
      </c>
      <c r="S95">
        <v>126.3</v>
      </c>
      <c r="T95">
        <v>129</v>
      </c>
      <c r="U95" t="s">
        <v>32</v>
      </c>
      <c r="V95">
        <v>123.8</v>
      </c>
      <c r="W95">
        <v>123.7</v>
      </c>
      <c r="X95">
        <v>121.1</v>
      </c>
      <c r="Y95">
        <v>113.6</v>
      </c>
      <c r="Z95">
        <v>118.5</v>
      </c>
      <c r="AA95">
        <v>123.6</v>
      </c>
      <c r="AB95">
        <v>112.5</v>
      </c>
      <c r="AC95">
        <v>118.2</v>
      </c>
      <c r="AD95">
        <v>126.1</v>
      </c>
    </row>
    <row r="96" spans="1:30">
      <c r="A96" t="s">
        <v>33</v>
      </c>
      <c r="B96">
        <v>2015</v>
      </c>
      <c r="C96" t="s">
        <v>46</v>
      </c>
      <c r="D96">
        <v>123.1</v>
      </c>
      <c r="E96">
        <v>131.69999999999999</v>
      </c>
      <c r="F96">
        <v>118.1</v>
      </c>
      <c r="G96">
        <v>128</v>
      </c>
      <c r="H96">
        <v>106.8</v>
      </c>
      <c r="I96">
        <v>130.1</v>
      </c>
      <c r="J96">
        <v>165.5</v>
      </c>
      <c r="K96">
        <v>156</v>
      </c>
      <c r="L96">
        <v>85.3</v>
      </c>
      <c r="M96">
        <v>132.69999999999999</v>
      </c>
      <c r="N96">
        <v>118.8</v>
      </c>
      <c r="O96">
        <v>131.69999999999999</v>
      </c>
      <c r="P96">
        <v>131.1</v>
      </c>
      <c r="Q96">
        <v>134.19999999999999</v>
      </c>
      <c r="R96">
        <v>123.7</v>
      </c>
      <c r="S96">
        <v>118.2</v>
      </c>
      <c r="T96">
        <v>122.9</v>
      </c>
      <c r="U96" t="s">
        <v>76</v>
      </c>
      <c r="V96">
        <v>115.3</v>
      </c>
      <c r="W96">
        <v>120</v>
      </c>
      <c r="X96">
        <v>116.6</v>
      </c>
      <c r="Y96">
        <v>109.9</v>
      </c>
      <c r="Z96">
        <v>117.2</v>
      </c>
      <c r="AA96">
        <v>126.2</v>
      </c>
      <c r="AB96">
        <v>112</v>
      </c>
      <c r="AC96">
        <v>116.2</v>
      </c>
      <c r="AD96">
        <v>123.2</v>
      </c>
    </row>
    <row r="97" spans="1:30">
      <c r="A97" t="s">
        <v>35</v>
      </c>
      <c r="B97">
        <v>2015</v>
      </c>
      <c r="C97" t="s">
        <v>46</v>
      </c>
      <c r="D97">
        <v>124.2</v>
      </c>
      <c r="E97">
        <v>131.4</v>
      </c>
      <c r="F97">
        <v>120.1</v>
      </c>
      <c r="G97">
        <v>128.5</v>
      </c>
      <c r="H97">
        <v>111.4</v>
      </c>
      <c r="I97">
        <v>132.30000000000001</v>
      </c>
      <c r="J97">
        <v>157.6</v>
      </c>
      <c r="K97">
        <v>144</v>
      </c>
      <c r="L97">
        <v>90.5</v>
      </c>
      <c r="M97">
        <v>126.8</v>
      </c>
      <c r="N97">
        <v>120.4</v>
      </c>
      <c r="O97">
        <v>132.1</v>
      </c>
      <c r="P97">
        <v>130.30000000000001</v>
      </c>
      <c r="Q97">
        <v>131.19999999999999</v>
      </c>
      <c r="R97">
        <v>127.2</v>
      </c>
      <c r="S97">
        <v>122.9</v>
      </c>
      <c r="T97">
        <v>126.6</v>
      </c>
      <c r="U97" t="s">
        <v>76</v>
      </c>
      <c r="V97">
        <v>120.6</v>
      </c>
      <c r="W97">
        <v>122</v>
      </c>
      <c r="X97">
        <v>119.4</v>
      </c>
      <c r="Y97">
        <v>111.7</v>
      </c>
      <c r="Z97">
        <v>117.8</v>
      </c>
      <c r="AA97">
        <v>125.1</v>
      </c>
      <c r="AB97">
        <v>112.3</v>
      </c>
      <c r="AC97">
        <v>117.2</v>
      </c>
      <c r="AD97">
        <v>124.8</v>
      </c>
    </row>
    <row r="98" spans="1:30">
      <c r="A98" t="s">
        <v>30</v>
      </c>
      <c r="B98">
        <v>2015</v>
      </c>
      <c r="C98" t="s">
        <v>48</v>
      </c>
      <c r="D98">
        <v>125.1</v>
      </c>
      <c r="E98">
        <v>131.1</v>
      </c>
      <c r="F98">
        <v>120.7</v>
      </c>
      <c r="G98">
        <v>129.19999999999999</v>
      </c>
      <c r="H98">
        <v>114.7</v>
      </c>
      <c r="I98">
        <v>132.30000000000001</v>
      </c>
      <c r="J98">
        <v>158.9</v>
      </c>
      <c r="K98">
        <v>142.1</v>
      </c>
      <c r="L98">
        <v>92.5</v>
      </c>
      <c r="M98">
        <v>125.4</v>
      </c>
      <c r="N98">
        <v>121.9</v>
      </c>
      <c r="O98">
        <v>132.69999999999999</v>
      </c>
      <c r="P98">
        <v>131</v>
      </c>
      <c r="Q98">
        <v>131</v>
      </c>
      <c r="R98">
        <v>130.4</v>
      </c>
      <c r="S98">
        <v>126.8</v>
      </c>
      <c r="T98">
        <v>129.9</v>
      </c>
      <c r="U98" t="s">
        <v>32</v>
      </c>
      <c r="V98">
        <v>123.7</v>
      </c>
      <c r="W98">
        <v>124.5</v>
      </c>
      <c r="X98">
        <v>121.4</v>
      </c>
      <c r="Y98">
        <v>113.8</v>
      </c>
      <c r="Z98">
        <v>119.6</v>
      </c>
      <c r="AA98">
        <v>124.5</v>
      </c>
      <c r="AB98">
        <v>113.7</v>
      </c>
      <c r="AC98">
        <v>118.8</v>
      </c>
      <c r="AD98">
        <v>127</v>
      </c>
    </row>
    <row r="99" spans="1:30">
      <c r="A99" t="s">
        <v>33</v>
      </c>
      <c r="B99">
        <v>2015</v>
      </c>
      <c r="C99" t="s">
        <v>48</v>
      </c>
      <c r="D99">
        <v>123.4</v>
      </c>
      <c r="E99">
        <v>129</v>
      </c>
      <c r="F99">
        <v>115.6</v>
      </c>
      <c r="G99">
        <v>128.30000000000001</v>
      </c>
      <c r="H99">
        <v>107</v>
      </c>
      <c r="I99">
        <v>124</v>
      </c>
      <c r="J99">
        <v>168.5</v>
      </c>
      <c r="K99">
        <v>165.4</v>
      </c>
      <c r="L99">
        <v>86.3</v>
      </c>
      <c r="M99">
        <v>134.4</v>
      </c>
      <c r="N99">
        <v>119.1</v>
      </c>
      <c r="O99">
        <v>132.30000000000001</v>
      </c>
      <c r="P99">
        <v>131.5</v>
      </c>
      <c r="Q99">
        <v>134.69999999999999</v>
      </c>
      <c r="R99">
        <v>124</v>
      </c>
      <c r="S99">
        <v>118.6</v>
      </c>
      <c r="T99">
        <v>123.2</v>
      </c>
      <c r="U99" t="s">
        <v>77</v>
      </c>
      <c r="V99">
        <v>115.1</v>
      </c>
      <c r="W99">
        <v>120.4</v>
      </c>
      <c r="X99">
        <v>117.1</v>
      </c>
      <c r="Y99">
        <v>109.1</v>
      </c>
      <c r="Z99">
        <v>117.3</v>
      </c>
      <c r="AA99">
        <v>126.5</v>
      </c>
      <c r="AB99">
        <v>112.9</v>
      </c>
      <c r="AC99">
        <v>116.2</v>
      </c>
      <c r="AD99">
        <v>123.5</v>
      </c>
    </row>
    <row r="100" spans="1:30">
      <c r="A100" t="s">
        <v>35</v>
      </c>
      <c r="B100">
        <v>2015</v>
      </c>
      <c r="C100" t="s">
        <v>48</v>
      </c>
      <c r="D100">
        <v>124.6</v>
      </c>
      <c r="E100">
        <v>130.4</v>
      </c>
      <c r="F100">
        <v>118.7</v>
      </c>
      <c r="G100">
        <v>128.9</v>
      </c>
      <c r="H100">
        <v>111.9</v>
      </c>
      <c r="I100">
        <v>128.4</v>
      </c>
      <c r="J100">
        <v>162.19999999999999</v>
      </c>
      <c r="K100">
        <v>150</v>
      </c>
      <c r="L100">
        <v>90.4</v>
      </c>
      <c r="M100">
        <v>128.4</v>
      </c>
      <c r="N100">
        <v>120.7</v>
      </c>
      <c r="O100">
        <v>132.5</v>
      </c>
      <c r="P100">
        <v>131.19999999999999</v>
      </c>
      <c r="Q100">
        <v>132</v>
      </c>
      <c r="R100">
        <v>127.9</v>
      </c>
      <c r="S100">
        <v>123.4</v>
      </c>
      <c r="T100">
        <v>127.2</v>
      </c>
      <c r="U100" t="s">
        <v>77</v>
      </c>
      <c r="V100">
        <v>120.4</v>
      </c>
      <c r="W100">
        <v>122.6</v>
      </c>
      <c r="X100">
        <v>119.8</v>
      </c>
      <c r="Y100">
        <v>111.3</v>
      </c>
      <c r="Z100">
        <v>118.3</v>
      </c>
      <c r="AA100">
        <v>125.7</v>
      </c>
      <c r="AB100">
        <v>113.4</v>
      </c>
      <c r="AC100">
        <v>117.5</v>
      </c>
      <c r="AD100">
        <v>125.4</v>
      </c>
    </row>
    <row r="101" spans="1:30">
      <c r="A101" t="s">
        <v>30</v>
      </c>
      <c r="B101">
        <v>2015</v>
      </c>
      <c r="C101" t="s">
        <v>50</v>
      </c>
      <c r="D101">
        <v>125.6</v>
      </c>
      <c r="E101">
        <v>130.4</v>
      </c>
      <c r="F101">
        <v>120.8</v>
      </c>
      <c r="G101">
        <v>129.4</v>
      </c>
      <c r="H101">
        <v>115.8</v>
      </c>
      <c r="I101">
        <v>133.19999999999999</v>
      </c>
      <c r="J101">
        <v>157.69999999999999</v>
      </c>
      <c r="K101">
        <v>154.19999999999999</v>
      </c>
      <c r="L101">
        <v>93.7</v>
      </c>
      <c r="M101">
        <v>126.6</v>
      </c>
      <c r="N101">
        <v>122.3</v>
      </c>
      <c r="O101">
        <v>133.1</v>
      </c>
      <c r="P101">
        <v>131.80000000000001</v>
      </c>
      <c r="Q101">
        <v>131.5</v>
      </c>
      <c r="R101">
        <v>131.1</v>
      </c>
      <c r="S101">
        <v>127.3</v>
      </c>
      <c r="T101">
        <v>130.6</v>
      </c>
      <c r="U101" t="s">
        <v>32</v>
      </c>
      <c r="V101">
        <v>124.4</v>
      </c>
      <c r="W101">
        <v>125.1</v>
      </c>
      <c r="X101">
        <v>122</v>
      </c>
      <c r="Y101">
        <v>113.8</v>
      </c>
      <c r="Z101">
        <v>120.1</v>
      </c>
      <c r="AA101">
        <v>125.1</v>
      </c>
      <c r="AB101">
        <v>114.2</v>
      </c>
      <c r="AC101">
        <v>119.2</v>
      </c>
      <c r="AD101">
        <v>127.7</v>
      </c>
    </row>
    <row r="102" spans="1:30">
      <c r="A102" t="s">
        <v>33</v>
      </c>
      <c r="B102">
        <v>2015</v>
      </c>
      <c r="C102" t="s">
        <v>50</v>
      </c>
      <c r="D102">
        <v>123.6</v>
      </c>
      <c r="E102">
        <v>128.6</v>
      </c>
      <c r="F102">
        <v>115.9</v>
      </c>
      <c r="G102">
        <v>128.5</v>
      </c>
      <c r="H102">
        <v>109</v>
      </c>
      <c r="I102">
        <v>124.1</v>
      </c>
      <c r="J102">
        <v>165.8</v>
      </c>
      <c r="K102">
        <v>187.2</v>
      </c>
      <c r="L102">
        <v>89.4</v>
      </c>
      <c r="M102">
        <v>135.80000000000001</v>
      </c>
      <c r="N102">
        <v>119.4</v>
      </c>
      <c r="O102">
        <v>132.9</v>
      </c>
      <c r="P102">
        <v>132.6</v>
      </c>
      <c r="Q102">
        <v>135.30000000000001</v>
      </c>
      <c r="R102">
        <v>124.4</v>
      </c>
      <c r="S102">
        <v>118.8</v>
      </c>
      <c r="T102">
        <v>123.6</v>
      </c>
      <c r="U102" t="s">
        <v>78</v>
      </c>
      <c r="V102">
        <v>114.9</v>
      </c>
      <c r="W102">
        <v>120.7</v>
      </c>
      <c r="X102">
        <v>117.7</v>
      </c>
      <c r="Y102">
        <v>109.3</v>
      </c>
      <c r="Z102">
        <v>117.7</v>
      </c>
      <c r="AA102">
        <v>126.5</v>
      </c>
      <c r="AB102">
        <v>113.5</v>
      </c>
      <c r="AC102">
        <v>116.5</v>
      </c>
      <c r="AD102">
        <v>124.2</v>
      </c>
    </row>
    <row r="103" spans="1:30">
      <c r="A103" t="s">
        <v>35</v>
      </c>
      <c r="B103">
        <v>2015</v>
      </c>
      <c r="C103" t="s">
        <v>50</v>
      </c>
      <c r="D103">
        <v>125</v>
      </c>
      <c r="E103">
        <v>129.80000000000001</v>
      </c>
      <c r="F103">
        <v>118.9</v>
      </c>
      <c r="G103">
        <v>129.1</v>
      </c>
      <c r="H103">
        <v>113.3</v>
      </c>
      <c r="I103">
        <v>129</v>
      </c>
      <c r="J103">
        <v>160.4</v>
      </c>
      <c r="K103">
        <v>165.3</v>
      </c>
      <c r="L103">
        <v>92.3</v>
      </c>
      <c r="M103">
        <v>129.69999999999999</v>
      </c>
      <c r="N103">
        <v>121.1</v>
      </c>
      <c r="O103">
        <v>133</v>
      </c>
      <c r="P103">
        <v>132.1</v>
      </c>
      <c r="Q103">
        <v>132.5</v>
      </c>
      <c r="R103">
        <v>128.5</v>
      </c>
      <c r="S103">
        <v>123.8</v>
      </c>
      <c r="T103">
        <v>127.8</v>
      </c>
      <c r="U103" t="s">
        <v>78</v>
      </c>
      <c r="V103">
        <v>120.8</v>
      </c>
      <c r="W103">
        <v>123</v>
      </c>
      <c r="X103">
        <v>120.4</v>
      </c>
      <c r="Y103">
        <v>111.4</v>
      </c>
      <c r="Z103">
        <v>118.7</v>
      </c>
      <c r="AA103">
        <v>125.9</v>
      </c>
      <c r="AB103">
        <v>113.9</v>
      </c>
      <c r="AC103">
        <v>117.9</v>
      </c>
      <c r="AD103">
        <v>126.1</v>
      </c>
    </row>
    <row r="104" spans="1:30">
      <c r="A104" t="s">
        <v>30</v>
      </c>
      <c r="B104">
        <v>2015</v>
      </c>
      <c r="C104" t="s">
        <v>53</v>
      </c>
      <c r="D104">
        <v>126.1</v>
      </c>
      <c r="E104">
        <v>130.6</v>
      </c>
      <c r="F104">
        <v>121.7</v>
      </c>
      <c r="G104">
        <v>129.5</v>
      </c>
      <c r="H104">
        <v>117.8</v>
      </c>
      <c r="I104">
        <v>132.1</v>
      </c>
      <c r="J104">
        <v>155.19999999999999</v>
      </c>
      <c r="K104">
        <v>160.80000000000001</v>
      </c>
      <c r="L104">
        <v>94.5</v>
      </c>
      <c r="M104">
        <v>128.30000000000001</v>
      </c>
      <c r="N104">
        <v>123.1</v>
      </c>
      <c r="O104">
        <v>134.19999999999999</v>
      </c>
      <c r="P104">
        <v>132.4</v>
      </c>
      <c r="Q104">
        <v>132.19999999999999</v>
      </c>
      <c r="R104">
        <v>132.1</v>
      </c>
      <c r="S104">
        <v>128.19999999999999</v>
      </c>
      <c r="T104">
        <v>131.5</v>
      </c>
      <c r="U104" t="s">
        <v>32</v>
      </c>
      <c r="V104">
        <v>125.6</v>
      </c>
      <c r="W104">
        <v>125.6</v>
      </c>
      <c r="X104">
        <v>122.6</v>
      </c>
      <c r="Y104">
        <v>114</v>
      </c>
      <c r="Z104">
        <v>120.9</v>
      </c>
      <c r="AA104">
        <v>125.8</v>
      </c>
      <c r="AB104">
        <v>114.2</v>
      </c>
      <c r="AC104">
        <v>119.6</v>
      </c>
      <c r="AD104">
        <v>128.30000000000001</v>
      </c>
    </row>
    <row r="105" spans="1:30">
      <c r="A105" t="s">
        <v>33</v>
      </c>
      <c r="B105">
        <v>2015</v>
      </c>
      <c r="C105" t="s">
        <v>53</v>
      </c>
      <c r="D105">
        <v>124</v>
      </c>
      <c r="E105">
        <v>129.80000000000001</v>
      </c>
      <c r="F105">
        <v>121.5</v>
      </c>
      <c r="G105">
        <v>128.6</v>
      </c>
      <c r="H105">
        <v>110</v>
      </c>
      <c r="I105">
        <v>123.7</v>
      </c>
      <c r="J105">
        <v>164.6</v>
      </c>
      <c r="K105">
        <v>191.6</v>
      </c>
      <c r="L105">
        <v>90.8</v>
      </c>
      <c r="M105">
        <v>137.1</v>
      </c>
      <c r="N105">
        <v>119.8</v>
      </c>
      <c r="O105">
        <v>133.69999999999999</v>
      </c>
      <c r="P105">
        <v>133.30000000000001</v>
      </c>
      <c r="Q105">
        <v>137.6</v>
      </c>
      <c r="R105">
        <v>125</v>
      </c>
      <c r="S105">
        <v>119.3</v>
      </c>
      <c r="T105">
        <v>124.2</v>
      </c>
      <c r="U105" t="s">
        <v>79</v>
      </c>
      <c r="V105">
        <v>115.1</v>
      </c>
      <c r="W105">
        <v>121</v>
      </c>
      <c r="X105">
        <v>118.1</v>
      </c>
      <c r="Y105">
        <v>109.3</v>
      </c>
      <c r="Z105">
        <v>117.9</v>
      </c>
      <c r="AA105">
        <v>126.6</v>
      </c>
      <c r="AB105">
        <v>113.3</v>
      </c>
      <c r="AC105">
        <v>116.6</v>
      </c>
      <c r="AD105">
        <v>124.6</v>
      </c>
    </row>
    <row r="106" spans="1:30">
      <c r="A106" t="s">
        <v>35</v>
      </c>
      <c r="B106">
        <v>2015</v>
      </c>
      <c r="C106" t="s">
        <v>53</v>
      </c>
      <c r="D106">
        <v>125.4</v>
      </c>
      <c r="E106">
        <v>130.30000000000001</v>
      </c>
      <c r="F106">
        <v>121.6</v>
      </c>
      <c r="G106">
        <v>129.19999999999999</v>
      </c>
      <c r="H106">
        <v>114.9</v>
      </c>
      <c r="I106">
        <v>128.19999999999999</v>
      </c>
      <c r="J106">
        <v>158.4</v>
      </c>
      <c r="K106">
        <v>171.2</v>
      </c>
      <c r="L106">
        <v>93.3</v>
      </c>
      <c r="M106">
        <v>131.19999999999999</v>
      </c>
      <c r="N106">
        <v>121.7</v>
      </c>
      <c r="O106">
        <v>134</v>
      </c>
      <c r="P106">
        <v>132.69999999999999</v>
      </c>
      <c r="Q106">
        <v>133.6</v>
      </c>
      <c r="R106">
        <v>129.30000000000001</v>
      </c>
      <c r="S106">
        <v>124.5</v>
      </c>
      <c r="T106">
        <v>128.6</v>
      </c>
      <c r="U106" t="s">
        <v>79</v>
      </c>
      <c r="V106">
        <v>121.6</v>
      </c>
      <c r="W106">
        <v>123.4</v>
      </c>
      <c r="X106">
        <v>120.9</v>
      </c>
      <c r="Y106">
        <v>111.5</v>
      </c>
      <c r="Z106">
        <v>119.2</v>
      </c>
      <c r="AA106">
        <v>126.3</v>
      </c>
      <c r="AB106">
        <v>113.8</v>
      </c>
      <c r="AC106">
        <v>118.1</v>
      </c>
      <c r="AD106">
        <v>126.6</v>
      </c>
    </row>
    <row r="107" spans="1:30">
      <c r="A107" t="s">
        <v>30</v>
      </c>
      <c r="B107">
        <v>2015</v>
      </c>
      <c r="C107" t="s">
        <v>55</v>
      </c>
      <c r="D107">
        <v>126.3</v>
      </c>
      <c r="E107">
        <v>131.30000000000001</v>
      </c>
      <c r="F107">
        <v>123.3</v>
      </c>
      <c r="G107">
        <v>129.80000000000001</v>
      </c>
      <c r="H107">
        <v>118.3</v>
      </c>
      <c r="I107">
        <v>131.6</v>
      </c>
      <c r="J107">
        <v>145.5</v>
      </c>
      <c r="K107">
        <v>162.1</v>
      </c>
      <c r="L107">
        <v>95.4</v>
      </c>
      <c r="M107">
        <v>128.9</v>
      </c>
      <c r="N107">
        <v>123.3</v>
      </c>
      <c r="O107">
        <v>135.1</v>
      </c>
      <c r="P107">
        <v>131.4</v>
      </c>
      <c r="Q107">
        <v>133.1</v>
      </c>
      <c r="R107">
        <v>132.5</v>
      </c>
      <c r="S107">
        <v>128.5</v>
      </c>
      <c r="T107">
        <v>131.9</v>
      </c>
      <c r="U107" t="s">
        <v>32</v>
      </c>
      <c r="V107">
        <v>125.7</v>
      </c>
      <c r="W107">
        <v>126</v>
      </c>
      <c r="X107">
        <v>123.1</v>
      </c>
      <c r="Y107">
        <v>114</v>
      </c>
      <c r="Z107">
        <v>121.6</v>
      </c>
      <c r="AA107">
        <v>125.6</v>
      </c>
      <c r="AB107">
        <v>114.1</v>
      </c>
      <c r="AC107">
        <v>119.8</v>
      </c>
      <c r="AD107">
        <v>127.9</v>
      </c>
    </row>
    <row r="108" spans="1:30">
      <c r="A108" t="s">
        <v>33</v>
      </c>
      <c r="B108">
        <v>2015</v>
      </c>
      <c r="C108" t="s">
        <v>55</v>
      </c>
      <c r="D108">
        <v>124.3</v>
      </c>
      <c r="E108">
        <v>131.69999999999999</v>
      </c>
      <c r="F108">
        <v>127.1</v>
      </c>
      <c r="G108">
        <v>128.6</v>
      </c>
      <c r="H108">
        <v>110</v>
      </c>
      <c r="I108">
        <v>120.8</v>
      </c>
      <c r="J108">
        <v>149</v>
      </c>
      <c r="K108">
        <v>190.1</v>
      </c>
      <c r="L108">
        <v>92.7</v>
      </c>
      <c r="M108">
        <v>138.6</v>
      </c>
      <c r="N108">
        <v>120.2</v>
      </c>
      <c r="O108">
        <v>134.19999999999999</v>
      </c>
      <c r="P108">
        <v>131.5</v>
      </c>
      <c r="Q108">
        <v>138.19999999999999</v>
      </c>
      <c r="R108">
        <v>125.4</v>
      </c>
      <c r="S108">
        <v>119.5</v>
      </c>
      <c r="T108">
        <v>124.5</v>
      </c>
      <c r="U108" t="s">
        <v>78</v>
      </c>
      <c r="V108">
        <v>116</v>
      </c>
      <c r="W108">
        <v>121</v>
      </c>
      <c r="X108">
        <v>118.6</v>
      </c>
      <c r="Y108">
        <v>109.3</v>
      </c>
      <c r="Z108">
        <v>118.1</v>
      </c>
      <c r="AA108">
        <v>126.6</v>
      </c>
      <c r="AB108">
        <v>113.2</v>
      </c>
      <c r="AC108">
        <v>116.7</v>
      </c>
      <c r="AD108">
        <v>124</v>
      </c>
    </row>
    <row r="109" spans="1:30">
      <c r="A109" t="s">
        <v>35</v>
      </c>
      <c r="B109">
        <v>2015</v>
      </c>
      <c r="C109" t="s">
        <v>55</v>
      </c>
      <c r="D109">
        <v>125.7</v>
      </c>
      <c r="E109">
        <v>131.4</v>
      </c>
      <c r="F109">
        <v>124.8</v>
      </c>
      <c r="G109">
        <v>129.4</v>
      </c>
      <c r="H109">
        <v>115.3</v>
      </c>
      <c r="I109">
        <v>126.6</v>
      </c>
      <c r="J109">
        <v>146.69999999999999</v>
      </c>
      <c r="K109">
        <v>171.5</v>
      </c>
      <c r="L109">
        <v>94.5</v>
      </c>
      <c r="M109">
        <v>132.1</v>
      </c>
      <c r="N109">
        <v>122</v>
      </c>
      <c r="O109">
        <v>134.69999999999999</v>
      </c>
      <c r="P109">
        <v>131.4</v>
      </c>
      <c r="Q109">
        <v>134.5</v>
      </c>
      <c r="R109">
        <v>129.69999999999999</v>
      </c>
      <c r="S109">
        <v>124.8</v>
      </c>
      <c r="T109">
        <v>129</v>
      </c>
      <c r="U109" t="s">
        <v>78</v>
      </c>
      <c r="V109">
        <v>122</v>
      </c>
      <c r="W109">
        <v>123.6</v>
      </c>
      <c r="X109">
        <v>121.4</v>
      </c>
      <c r="Y109">
        <v>111.5</v>
      </c>
      <c r="Z109">
        <v>119.6</v>
      </c>
      <c r="AA109">
        <v>126.2</v>
      </c>
      <c r="AB109">
        <v>113.7</v>
      </c>
      <c r="AC109">
        <v>118.3</v>
      </c>
      <c r="AD109">
        <v>126.1</v>
      </c>
    </row>
    <row r="110" spans="1:30">
      <c r="A110" t="s">
        <v>30</v>
      </c>
      <c r="B110">
        <v>2016</v>
      </c>
      <c r="C110" t="s">
        <v>31</v>
      </c>
      <c r="D110">
        <v>126.8</v>
      </c>
      <c r="E110">
        <v>133.19999999999999</v>
      </c>
      <c r="F110">
        <v>126.5</v>
      </c>
      <c r="G110">
        <v>130.30000000000001</v>
      </c>
      <c r="H110">
        <v>118.9</v>
      </c>
      <c r="I110">
        <v>131.6</v>
      </c>
      <c r="J110">
        <v>140.1</v>
      </c>
      <c r="K110">
        <v>163.80000000000001</v>
      </c>
      <c r="L110">
        <v>97.7</v>
      </c>
      <c r="M110">
        <v>129.6</v>
      </c>
      <c r="N110">
        <v>124.3</v>
      </c>
      <c r="O110">
        <v>135.9</v>
      </c>
      <c r="P110">
        <v>131.4</v>
      </c>
      <c r="Q110">
        <v>133.6</v>
      </c>
      <c r="R110">
        <v>133.19999999999999</v>
      </c>
      <c r="S110">
        <v>128.9</v>
      </c>
      <c r="T110">
        <v>132.6</v>
      </c>
      <c r="U110" t="s">
        <v>32</v>
      </c>
      <c r="V110">
        <v>126.2</v>
      </c>
      <c r="W110">
        <v>126.6</v>
      </c>
      <c r="X110">
        <v>123.7</v>
      </c>
      <c r="Y110">
        <v>113.6</v>
      </c>
      <c r="Z110">
        <v>121.4</v>
      </c>
      <c r="AA110">
        <v>126.2</v>
      </c>
      <c r="AB110">
        <v>114.9</v>
      </c>
      <c r="AC110">
        <v>120.1</v>
      </c>
      <c r="AD110">
        <v>128.1</v>
      </c>
    </row>
    <row r="111" spans="1:30">
      <c r="A111" t="s">
        <v>33</v>
      </c>
      <c r="B111">
        <v>2016</v>
      </c>
      <c r="C111" t="s">
        <v>31</v>
      </c>
      <c r="D111">
        <v>124.7</v>
      </c>
      <c r="E111">
        <v>135.9</v>
      </c>
      <c r="F111">
        <v>132</v>
      </c>
      <c r="G111">
        <v>129.19999999999999</v>
      </c>
      <c r="H111">
        <v>109.7</v>
      </c>
      <c r="I111">
        <v>119</v>
      </c>
      <c r="J111">
        <v>144.1</v>
      </c>
      <c r="K111">
        <v>184.2</v>
      </c>
      <c r="L111">
        <v>96.7</v>
      </c>
      <c r="M111">
        <v>139.5</v>
      </c>
      <c r="N111">
        <v>120.5</v>
      </c>
      <c r="O111">
        <v>134.69999999999999</v>
      </c>
      <c r="P111">
        <v>131.19999999999999</v>
      </c>
      <c r="Q111">
        <v>139.5</v>
      </c>
      <c r="R111">
        <v>125.8</v>
      </c>
      <c r="S111">
        <v>119.8</v>
      </c>
      <c r="T111">
        <v>124.9</v>
      </c>
      <c r="U111" t="s">
        <v>80</v>
      </c>
      <c r="V111">
        <v>116.9</v>
      </c>
      <c r="W111">
        <v>121.6</v>
      </c>
      <c r="X111">
        <v>119.1</v>
      </c>
      <c r="Y111">
        <v>108.9</v>
      </c>
      <c r="Z111">
        <v>118.5</v>
      </c>
      <c r="AA111">
        <v>126.4</v>
      </c>
      <c r="AB111">
        <v>114</v>
      </c>
      <c r="AC111">
        <v>116.8</v>
      </c>
      <c r="AD111">
        <v>124.2</v>
      </c>
    </row>
    <row r="112" spans="1:30">
      <c r="A112" t="s">
        <v>35</v>
      </c>
      <c r="B112">
        <v>2016</v>
      </c>
      <c r="C112" t="s">
        <v>31</v>
      </c>
      <c r="D112">
        <v>126.1</v>
      </c>
      <c r="E112">
        <v>134.1</v>
      </c>
      <c r="F112">
        <v>128.6</v>
      </c>
      <c r="G112">
        <v>129.9</v>
      </c>
      <c r="H112">
        <v>115.5</v>
      </c>
      <c r="I112">
        <v>125.7</v>
      </c>
      <c r="J112">
        <v>141.5</v>
      </c>
      <c r="K112">
        <v>170.7</v>
      </c>
      <c r="L112">
        <v>97.4</v>
      </c>
      <c r="M112">
        <v>132.9</v>
      </c>
      <c r="N112">
        <v>122.7</v>
      </c>
      <c r="O112">
        <v>135.30000000000001</v>
      </c>
      <c r="P112">
        <v>131.30000000000001</v>
      </c>
      <c r="Q112">
        <v>135.19999999999999</v>
      </c>
      <c r="R112">
        <v>130.30000000000001</v>
      </c>
      <c r="S112">
        <v>125.1</v>
      </c>
      <c r="T112">
        <v>129.5</v>
      </c>
      <c r="U112" t="s">
        <v>80</v>
      </c>
      <c r="V112">
        <v>122.7</v>
      </c>
      <c r="W112">
        <v>124.2</v>
      </c>
      <c r="X112">
        <v>122</v>
      </c>
      <c r="Y112">
        <v>111.1</v>
      </c>
      <c r="Z112">
        <v>119.8</v>
      </c>
      <c r="AA112">
        <v>126.3</v>
      </c>
      <c r="AB112">
        <v>114.5</v>
      </c>
      <c r="AC112">
        <v>118.5</v>
      </c>
      <c r="AD112">
        <v>126.3</v>
      </c>
    </row>
    <row r="113" spans="1:30">
      <c r="A113" t="s">
        <v>30</v>
      </c>
      <c r="B113">
        <v>2016</v>
      </c>
      <c r="C113" t="s">
        <v>36</v>
      </c>
      <c r="D113">
        <v>127.1</v>
      </c>
      <c r="E113">
        <v>133.69999999999999</v>
      </c>
      <c r="F113">
        <v>127.7</v>
      </c>
      <c r="G113">
        <v>130.69999999999999</v>
      </c>
      <c r="H113">
        <v>118.5</v>
      </c>
      <c r="I113">
        <v>130.4</v>
      </c>
      <c r="J113">
        <v>130.9</v>
      </c>
      <c r="K113">
        <v>162.80000000000001</v>
      </c>
      <c r="L113">
        <v>98.7</v>
      </c>
      <c r="M113">
        <v>130.6</v>
      </c>
      <c r="N113">
        <v>124.8</v>
      </c>
      <c r="O113">
        <v>136.4</v>
      </c>
      <c r="P113">
        <v>130.30000000000001</v>
      </c>
      <c r="Q113">
        <v>134.4</v>
      </c>
      <c r="R113">
        <v>133.9</v>
      </c>
      <c r="S113">
        <v>129.80000000000001</v>
      </c>
      <c r="T113">
        <v>133.4</v>
      </c>
      <c r="U113" t="s">
        <v>32</v>
      </c>
      <c r="V113">
        <v>127.5</v>
      </c>
      <c r="W113">
        <v>127.1</v>
      </c>
      <c r="X113">
        <v>124.3</v>
      </c>
      <c r="Y113">
        <v>113.9</v>
      </c>
      <c r="Z113">
        <v>122.3</v>
      </c>
      <c r="AA113">
        <v>127.1</v>
      </c>
      <c r="AB113">
        <v>116.8</v>
      </c>
      <c r="AC113">
        <v>120.9</v>
      </c>
      <c r="AD113">
        <v>127.9</v>
      </c>
    </row>
    <row r="114" spans="1:30">
      <c r="A114" t="s">
        <v>33</v>
      </c>
      <c r="B114">
        <v>2016</v>
      </c>
      <c r="C114" t="s">
        <v>36</v>
      </c>
      <c r="D114">
        <v>124.8</v>
      </c>
      <c r="E114">
        <v>135.1</v>
      </c>
      <c r="F114">
        <v>130.30000000000001</v>
      </c>
      <c r="G114">
        <v>129.6</v>
      </c>
      <c r="H114">
        <v>108.4</v>
      </c>
      <c r="I114">
        <v>118.6</v>
      </c>
      <c r="J114">
        <v>129.19999999999999</v>
      </c>
      <c r="K114">
        <v>176.4</v>
      </c>
      <c r="L114">
        <v>99.1</v>
      </c>
      <c r="M114">
        <v>139.69999999999999</v>
      </c>
      <c r="N114">
        <v>120.6</v>
      </c>
      <c r="O114">
        <v>135.19999999999999</v>
      </c>
      <c r="P114">
        <v>129.1</v>
      </c>
      <c r="Q114">
        <v>140</v>
      </c>
      <c r="R114">
        <v>126.2</v>
      </c>
      <c r="S114">
        <v>120.1</v>
      </c>
      <c r="T114">
        <v>125.3</v>
      </c>
      <c r="U114" t="s">
        <v>81</v>
      </c>
      <c r="V114">
        <v>116</v>
      </c>
      <c r="W114">
        <v>121.8</v>
      </c>
      <c r="X114">
        <v>119.5</v>
      </c>
      <c r="Y114">
        <v>109.1</v>
      </c>
      <c r="Z114">
        <v>118.8</v>
      </c>
      <c r="AA114">
        <v>126.3</v>
      </c>
      <c r="AB114">
        <v>116.2</v>
      </c>
      <c r="AC114">
        <v>117.2</v>
      </c>
      <c r="AD114">
        <v>123.8</v>
      </c>
    </row>
    <row r="115" spans="1:30">
      <c r="A115" t="s">
        <v>35</v>
      </c>
      <c r="B115">
        <v>2016</v>
      </c>
      <c r="C115" t="s">
        <v>36</v>
      </c>
      <c r="D115">
        <v>126.4</v>
      </c>
      <c r="E115">
        <v>134.19999999999999</v>
      </c>
      <c r="F115">
        <v>128.69999999999999</v>
      </c>
      <c r="G115">
        <v>130.30000000000001</v>
      </c>
      <c r="H115">
        <v>114.8</v>
      </c>
      <c r="I115">
        <v>124.9</v>
      </c>
      <c r="J115">
        <v>130.30000000000001</v>
      </c>
      <c r="K115">
        <v>167.4</v>
      </c>
      <c r="L115">
        <v>98.8</v>
      </c>
      <c r="M115">
        <v>133.6</v>
      </c>
      <c r="N115">
        <v>123</v>
      </c>
      <c r="O115">
        <v>135.80000000000001</v>
      </c>
      <c r="P115">
        <v>129.9</v>
      </c>
      <c r="Q115">
        <v>135.9</v>
      </c>
      <c r="R115">
        <v>130.9</v>
      </c>
      <c r="S115">
        <v>125.8</v>
      </c>
      <c r="T115">
        <v>130.19999999999999</v>
      </c>
      <c r="U115" t="s">
        <v>81</v>
      </c>
      <c r="V115">
        <v>123.1</v>
      </c>
      <c r="W115">
        <v>124.6</v>
      </c>
      <c r="X115">
        <v>122.5</v>
      </c>
      <c r="Y115">
        <v>111.4</v>
      </c>
      <c r="Z115">
        <v>120.3</v>
      </c>
      <c r="AA115">
        <v>126.6</v>
      </c>
      <c r="AB115">
        <v>116.6</v>
      </c>
      <c r="AC115">
        <v>119.1</v>
      </c>
      <c r="AD115">
        <v>126</v>
      </c>
    </row>
    <row r="116" spans="1:30">
      <c r="A116" t="s">
        <v>30</v>
      </c>
      <c r="B116">
        <v>2016</v>
      </c>
      <c r="C116" t="s">
        <v>38</v>
      </c>
      <c r="D116">
        <v>127.3</v>
      </c>
      <c r="E116">
        <v>134.4</v>
      </c>
      <c r="F116">
        <v>125.1</v>
      </c>
      <c r="G116">
        <v>130.5</v>
      </c>
      <c r="H116">
        <v>118.3</v>
      </c>
      <c r="I116">
        <v>131.69999999999999</v>
      </c>
      <c r="J116">
        <v>130.69999999999999</v>
      </c>
      <c r="K116">
        <v>161.19999999999999</v>
      </c>
      <c r="L116">
        <v>100.4</v>
      </c>
      <c r="M116">
        <v>130.80000000000001</v>
      </c>
      <c r="N116">
        <v>124.9</v>
      </c>
      <c r="O116">
        <v>137</v>
      </c>
      <c r="P116">
        <v>130.4</v>
      </c>
      <c r="Q116">
        <v>135</v>
      </c>
      <c r="R116">
        <v>134.4</v>
      </c>
      <c r="S116">
        <v>130.19999999999999</v>
      </c>
      <c r="T116">
        <v>133.80000000000001</v>
      </c>
      <c r="U116" t="s">
        <v>32</v>
      </c>
      <c r="V116">
        <v>127</v>
      </c>
      <c r="W116">
        <v>127.7</v>
      </c>
      <c r="X116">
        <v>124.8</v>
      </c>
      <c r="Y116">
        <v>113.6</v>
      </c>
      <c r="Z116">
        <v>122.5</v>
      </c>
      <c r="AA116">
        <v>127.5</v>
      </c>
      <c r="AB116">
        <v>117.4</v>
      </c>
      <c r="AC116">
        <v>121.1</v>
      </c>
      <c r="AD116">
        <v>128</v>
      </c>
    </row>
    <row r="117" spans="1:30">
      <c r="A117" t="s">
        <v>33</v>
      </c>
      <c r="B117">
        <v>2016</v>
      </c>
      <c r="C117" t="s">
        <v>38</v>
      </c>
      <c r="D117">
        <v>124.8</v>
      </c>
      <c r="E117">
        <v>136.30000000000001</v>
      </c>
      <c r="F117">
        <v>123.7</v>
      </c>
      <c r="G117">
        <v>129.69999999999999</v>
      </c>
      <c r="H117">
        <v>107.9</v>
      </c>
      <c r="I117">
        <v>119.9</v>
      </c>
      <c r="J117">
        <v>128.1</v>
      </c>
      <c r="K117">
        <v>170.3</v>
      </c>
      <c r="L117">
        <v>101.8</v>
      </c>
      <c r="M117">
        <v>140.1</v>
      </c>
      <c r="N117">
        <v>120.7</v>
      </c>
      <c r="O117">
        <v>135.4</v>
      </c>
      <c r="P117">
        <v>128.9</v>
      </c>
      <c r="Q117">
        <v>140.6</v>
      </c>
      <c r="R117">
        <v>126.4</v>
      </c>
      <c r="S117">
        <v>120.3</v>
      </c>
      <c r="T117">
        <v>125.5</v>
      </c>
      <c r="U117" t="s">
        <v>82</v>
      </c>
      <c r="V117">
        <v>114.8</v>
      </c>
      <c r="W117">
        <v>122.3</v>
      </c>
      <c r="X117">
        <v>119.7</v>
      </c>
      <c r="Y117">
        <v>108.5</v>
      </c>
      <c r="Z117">
        <v>119.1</v>
      </c>
      <c r="AA117">
        <v>126.4</v>
      </c>
      <c r="AB117">
        <v>117.1</v>
      </c>
      <c r="AC117">
        <v>117.3</v>
      </c>
      <c r="AD117">
        <v>123.8</v>
      </c>
    </row>
    <row r="118" spans="1:30">
      <c r="A118" t="s">
        <v>35</v>
      </c>
      <c r="B118">
        <v>2016</v>
      </c>
      <c r="C118" t="s">
        <v>38</v>
      </c>
      <c r="D118">
        <v>126.5</v>
      </c>
      <c r="E118">
        <v>135.1</v>
      </c>
      <c r="F118">
        <v>124.6</v>
      </c>
      <c r="G118">
        <v>130.19999999999999</v>
      </c>
      <c r="H118">
        <v>114.5</v>
      </c>
      <c r="I118">
        <v>126.2</v>
      </c>
      <c r="J118">
        <v>129.80000000000001</v>
      </c>
      <c r="K118">
        <v>164.3</v>
      </c>
      <c r="L118">
        <v>100.9</v>
      </c>
      <c r="M118">
        <v>133.9</v>
      </c>
      <c r="N118">
        <v>123.1</v>
      </c>
      <c r="O118">
        <v>136.30000000000001</v>
      </c>
      <c r="P118">
        <v>129.80000000000001</v>
      </c>
      <c r="Q118">
        <v>136.5</v>
      </c>
      <c r="R118">
        <v>131.30000000000001</v>
      </c>
      <c r="S118">
        <v>126.1</v>
      </c>
      <c r="T118">
        <v>130.5</v>
      </c>
      <c r="U118" t="s">
        <v>82</v>
      </c>
      <c r="V118">
        <v>122.4</v>
      </c>
      <c r="W118">
        <v>125.1</v>
      </c>
      <c r="X118">
        <v>122.9</v>
      </c>
      <c r="Y118">
        <v>110.9</v>
      </c>
      <c r="Z118">
        <v>120.6</v>
      </c>
      <c r="AA118">
        <v>126.9</v>
      </c>
      <c r="AB118">
        <v>117.3</v>
      </c>
      <c r="AC118">
        <v>119.3</v>
      </c>
      <c r="AD118">
        <v>126</v>
      </c>
    </row>
    <row r="119" spans="1:30">
      <c r="A119" t="s">
        <v>30</v>
      </c>
      <c r="B119">
        <v>2016</v>
      </c>
      <c r="C119" t="s">
        <v>39</v>
      </c>
      <c r="D119">
        <v>127.4</v>
      </c>
      <c r="E119">
        <v>135.4</v>
      </c>
      <c r="F119">
        <v>123.4</v>
      </c>
      <c r="G119">
        <v>131.30000000000001</v>
      </c>
      <c r="H119">
        <v>118.2</v>
      </c>
      <c r="I119">
        <v>138.1</v>
      </c>
      <c r="J119">
        <v>134.1</v>
      </c>
      <c r="K119">
        <v>162.69999999999999</v>
      </c>
      <c r="L119">
        <v>105</v>
      </c>
      <c r="M119">
        <v>131.4</v>
      </c>
      <c r="N119">
        <v>125.4</v>
      </c>
      <c r="O119">
        <v>137.4</v>
      </c>
      <c r="P119">
        <v>131.80000000000001</v>
      </c>
      <c r="Q119">
        <v>135.5</v>
      </c>
      <c r="R119">
        <v>135</v>
      </c>
      <c r="S119">
        <v>130.6</v>
      </c>
      <c r="T119">
        <v>134.4</v>
      </c>
      <c r="U119" t="s">
        <v>32</v>
      </c>
      <c r="V119">
        <v>127</v>
      </c>
      <c r="W119">
        <v>128</v>
      </c>
      <c r="X119">
        <v>125.2</v>
      </c>
      <c r="Y119">
        <v>114.4</v>
      </c>
      <c r="Z119">
        <v>123.2</v>
      </c>
      <c r="AA119">
        <v>127.9</v>
      </c>
      <c r="AB119">
        <v>118.4</v>
      </c>
      <c r="AC119">
        <v>121.7</v>
      </c>
      <c r="AD119">
        <v>129</v>
      </c>
    </row>
    <row r="120" spans="1:30">
      <c r="A120" t="s">
        <v>33</v>
      </c>
      <c r="B120">
        <v>2016</v>
      </c>
      <c r="C120" t="s">
        <v>39</v>
      </c>
      <c r="D120">
        <v>124.9</v>
      </c>
      <c r="E120">
        <v>139.30000000000001</v>
      </c>
      <c r="F120">
        <v>119.9</v>
      </c>
      <c r="G120">
        <v>130.19999999999999</v>
      </c>
      <c r="H120">
        <v>108.9</v>
      </c>
      <c r="I120">
        <v>131.1</v>
      </c>
      <c r="J120">
        <v>136.80000000000001</v>
      </c>
      <c r="K120">
        <v>176.9</v>
      </c>
      <c r="L120">
        <v>109.1</v>
      </c>
      <c r="M120">
        <v>140.4</v>
      </c>
      <c r="N120">
        <v>121.1</v>
      </c>
      <c r="O120">
        <v>135.9</v>
      </c>
      <c r="P120">
        <v>131.80000000000001</v>
      </c>
      <c r="Q120">
        <v>141.5</v>
      </c>
      <c r="R120">
        <v>126.8</v>
      </c>
      <c r="S120">
        <v>120.5</v>
      </c>
      <c r="T120">
        <v>125.8</v>
      </c>
      <c r="U120" t="s">
        <v>83</v>
      </c>
      <c r="V120">
        <v>114.6</v>
      </c>
      <c r="W120">
        <v>122.8</v>
      </c>
      <c r="X120">
        <v>120</v>
      </c>
      <c r="Y120">
        <v>110</v>
      </c>
      <c r="Z120">
        <v>119.5</v>
      </c>
      <c r="AA120">
        <v>127.6</v>
      </c>
      <c r="AB120">
        <v>117.6</v>
      </c>
      <c r="AC120">
        <v>118.2</v>
      </c>
      <c r="AD120">
        <v>125.3</v>
      </c>
    </row>
    <row r="121" spans="1:30">
      <c r="A121" t="s">
        <v>35</v>
      </c>
      <c r="B121">
        <v>2016</v>
      </c>
      <c r="C121" t="s">
        <v>39</v>
      </c>
      <c r="D121">
        <v>126.6</v>
      </c>
      <c r="E121">
        <v>136.80000000000001</v>
      </c>
      <c r="F121">
        <v>122</v>
      </c>
      <c r="G121">
        <v>130.9</v>
      </c>
      <c r="H121">
        <v>114.8</v>
      </c>
      <c r="I121">
        <v>134.80000000000001</v>
      </c>
      <c r="J121">
        <v>135</v>
      </c>
      <c r="K121">
        <v>167.5</v>
      </c>
      <c r="L121">
        <v>106.4</v>
      </c>
      <c r="M121">
        <v>134.4</v>
      </c>
      <c r="N121">
        <v>123.6</v>
      </c>
      <c r="O121">
        <v>136.69999999999999</v>
      </c>
      <c r="P121">
        <v>131.80000000000001</v>
      </c>
      <c r="Q121">
        <v>137.1</v>
      </c>
      <c r="R121">
        <v>131.80000000000001</v>
      </c>
      <c r="S121">
        <v>126.4</v>
      </c>
      <c r="T121">
        <v>131</v>
      </c>
      <c r="U121" t="s">
        <v>83</v>
      </c>
      <c r="V121">
        <v>122.3</v>
      </c>
      <c r="W121">
        <v>125.5</v>
      </c>
      <c r="X121">
        <v>123.2</v>
      </c>
      <c r="Y121">
        <v>112.1</v>
      </c>
      <c r="Z121">
        <v>121.1</v>
      </c>
      <c r="AA121">
        <v>127.7</v>
      </c>
      <c r="AB121">
        <v>118.1</v>
      </c>
      <c r="AC121">
        <v>120</v>
      </c>
      <c r="AD121">
        <v>127.3</v>
      </c>
    </row>
    <row r="122" spans="1:30">
      <c r="A122" t="s">
        <v>30</v>
      </c>
      <c r="B122">
        <v>2016</v>
      </c>
      <c r="C122" t="s">
        <v>41</v>
      </c>
      <c r="D122">
        <v>127.6</v>
      </c>
      <c r="E122">
        <v>137.5</v>
      </c>
      <c r="F122">
        <v>124.4</v>
      </c>
      <c r="G122">
        <v>132.4</v>
      </c>
      <c r="H122">
        <v>118.2</v>
      </c>
      <c r="I122">
        <v>138.1</v>
      </c>
      <c r="J122">
        <v>141.80000000000001</v>
      </c>
      <c r="K122">
        <v>166</v>
      </c>
      <c r="L122">
        <v>107.5</v>
      </c>
      <c r="M122">
        <v>132.19999999999999</v>
      </c>
      <c r="N122">
        <v>126.1</v>
      </c>
      <c r="O122">
        <v>138.30000000000001</v>
      </c>
      <c r="P122">
        <v>133.6</v>
      </c>
      <c r="Q122">
        <v>136</v>
      </c>
      <c r="R122">
        <v>135.4</v>
      </c>
      <c r="S122">
        <v>131.1</v>
      </c>
      <c r="T122">
        <v>134.80000000000001</v>
      </c>
      <c r="U122" t="s">
        <v>32</v>
      </c>
      <c r="V122">
        <v>127.4</v>
      </c>
      <c r="W122">
        <v>128.5</v>
      </c>
      <c r="X122">
        <v>125.8</v>
      </c>
      <c r="Y122">
        <v>115.1</v>
      </c>
      <c r="Z122">
        <v>123.6</v>
      </c>
      <c r="AA122">
        <v>129.1</v>
      </c>
      <c r="AB122">
        <v>119.7</v>
      </c>
      <c r="AC122">
        <v>122.5</v>
      </c>
      <c r="AD122">
        <v>130.30000000000001</v>
      </c>
    </row>
    <row r="123" spans="1:30">
      <c r="A123" t="s">
        <v>33</v>
      </c>
      <c r="B123">
        <v>2016</v>
      </c>
      <c r="C123" t="s">
        <v>41</v>
      </c>
      <c r="D123">
        <v>125</v>
      </c>
      <c r="E123">
        <v>142.1</v>
      </c>
      <c r="F123">
        <v>127</v>
      </c>
      <c r="G123">
        <v>130.4</v>
      </c>
      <c r="H123">
        <v>109.6</v>
      </c>
      <c r="I123">
        <v>133.5</v>
      </c>
      <c r="J123">
        <v>151.4</v>
      </c>
      <c r="K123">
        <v>182.8</v>
      </c>
      <c r="L123">
        <v>111.1</v>
      </c>
      <c r="M123">
        <v>141.5</v>
      </c>
      <c r="N123">
        <v>121.5</v>
      </c>
      <c r="O123">
        <v>136.30000000000001</v>
      </c>
      <c r="P123">
        <v>134.6</v>
      </c>
      <c r="Q123">
        <v>142.19999999999999</v>
      </c>
      <c r="R123">
        <v>127.2</v>
      </c>
      <c r="S123">
        <v>120.7</v>
      </c>
      <c r="T123">
        <v>126.2</v>
      </c>
      <c r="U123" t="s">
        <v>84</v>
      </c>
      <c r="V123">
        <v>115</v>
      </c>
      <c r="W123">
        <v>123.2</v>
      </c>
      <c r="X123">
        <v>120.3</v>
      </c>
      <c r="Y123">
        <v>110.7</v>
      </c>
      <c r="Z123">
        <v>119.8</v>
      </c>
      <c r="AA123">
        <v>128</v>
      </c>
      <c r="AB123">
        <v>118.5</v>
      </c>
      <c r="AC123">
        <v>118.7</v>
      </c>
      <c r="AD123">
        <v>126.6</v>
      </c>
    </row>
    <row r="124" spans="1:30">
      <c r="A124" t="s">
        <v>35</v>
      </c>
      <c r="B124">
        <v>2016</v>
      </c>
      <c r="C124" t="s">
        <v>41</v>
      </c>
      <c r="D124">
        <v>126.8</v>
      </c>
      <c r="E124">
        <v>139.1</v>
      </c>
      <c r="F124">
        <v>125.4</v>
      </c>
      <c r="G124">
        <v>131.69999999999999</v>
      </c>
      <c r="H124">
        <v>115</v>
      </c>
      <c r="I124">
        <v>136</v>
      </c>
      <c r="J124">
        <v>145.1</v>
      </c>
      <c r="K124">
        <v>171.7</v>
      </c>
      <c r="L124">
        <v>108.7</v>
      </c>
      <c r="M124">
        <v>135.30000000000001</v>
      </c>
      <c r="N124">
        <v>124.2</v>
      </c>
      <c r="O124">
        <v>137.4</v>
      </c>
      <c r="P124">
        <v>134</v>
      </c>
      <c r="Q124">
        <v>137.69999999999999</v>
      </c>
      <c r="R124">
        <v>132.19999999999999</v>
      </c>
      <c r="S124">
        <v>126.8</v>
      </c>
      <c r="T124">
        <v>131.4</v>
      </c>
      <c r="U124" t="s">
        <v>84</v>
      </c>
      <c r="V124">
        <v>122.7</v>
      </c>
      <c r="W124">
        <v>126</v>
      </c>
      <c r="X124">
        <v>123.7</v>
      </c>
      <c r="Y124">
        <v>112.8</v>
      </c>
      <c r="Z124">
        <v>121.5</v>
      </c>
      <c r="AA124">
        <v>128.5</v>
      </c>
      <c r="AB124">
        <v>119.2</v>
      </c>
      <c r="AC124">
        <v>120.7</v>
      </c>
      <c r="AD124">
        <v>128.6</v>
      </c>
    </row>
    <row r="125" spans="1:30">
      <c r="A125" t="s">
        <v>30</v>
      </c>
      <c r="B125">
        <v>2016</v>
      </c>
      <c r="C125" t="s">
        <v>42</v>
      </c>
      <c r="D125">
        <v>128.6</v>
      </c>
      <c r="E125">
        <v>138.6</v>
      </c>
      <c r="F125">
        <v>126.6</v>
      </c>
      <c r="G125">
        <v>133.6</v>
      </c>
      <c r="H125">
        <v>118.6</v>
      </c>
      <c r="I125">
        <v>137.4</v>
      </c>
      <c r="J125">
        <v>152.5</v>
      </c>
      <c r="K125">
        <v>169.2</v>
      </c>
      <c r="L125">
        <v>108.8</v>
      </c>
      <c r="M125">
        <v>133.1</v>
      </c>
      <c r="N125">
        <v>126.4</v>
      </c>
      <c r="O125">
        <v>139.19999999999999</v>
      </c>
      <c r="P125">
        <v>136</v>
      </c>
      <c r="Q125">
        <v>137.19999999999999</v>
      </c>
      <c r="R125">
        <v>136.30000000000001</v>
      </c>
      <c r="S125">
        <v>131.6</v>
      </c>
      <c r="T125">
        <v>135.6</v>
      </c>
      <c r="U125" t="s">
        <v>32</v>
      </c>
      <c r="V125">
        <v>128</v>
      </c>
      <c r="W125">
        <v>129.30000000000001</v>
      </c>
      <c r="X125">
        <v>126.2</v>
      </c>
      <c r="Y125">
        <v>116.3</v>
      </c>
      <c r="Z125">
        <v>124.1</v>
      </c>
      <c r="AA125">
        <v>130.19999999999999</v>
      </c>
      <c r="AB125">
        <v>119.9</v>
      </c>
      <c r="AC125">
        <v>123.3</v>
      </c>
      <c r="AD125">
        <v>131.9</v>
      </c>
    </row>
    <row r="126" spans="1:30">
      <c r="A126" t="s">
        <v>33</v>
      </c>
      <c r="B126">
        <v>2016</v>
      </c>
      <c r="C126" t="s">
        <v>42</v>
      </c>
      <c r="D126">
        <v>125.9</v>
      </c>
      <c r="E126">
        <v>143.9</v>
      </c>
      <c r="F126">
        <v>130.9</v>
      </c>
      <c r="G126">
        <v>131</v>
      </c>
      <c r="H126">
        <v>110.2</v>
      </c>
      <c r="I126">
        <v>135.5</v>
      </c>
      <c r="J126">
        <v>173.7</v>
      </c>
      <c r="K126">
        <v>184.4</v>
      </c>
      <c r="L126">
        <v>112</v>
      </c>
      <c r="M126">
        <v>142.80000000000001</v>
      </c>
      <c r="N126">
        <v>121.6</v>
      </c>
      <c r="O126">
        <v>136.9</v>
      </c>
      <c r="P126">
        <v>138.19999999999999</v>
      </c>
      <c r="Q126">
        <v>142.69999999999999</v>
      </c>
      <c r="R126">
        <v>127.6</v>
      </c>
      <c r="S126">
        <v>121.1</v>
      </c>
      <c r="T126">
        <v>126.6</v>
      </c>
      <c r="U126" t="s">
        <v>85</v>
      </c>
      <c r="V126">
        <v>115.5</v>
      </c>
      <c r="W126">
        <v>123.2</v>
      </c>
      <c r="X126">
        <v>120.6</v>
      </c>
      <c r="Y126">
        <v>112.3</v>
      </c>
      <c r="Z126">
        <v>119.9</v>
      </c>
      <c r="AA126">
        <v>129.30000000000001</v>
      </c>
      <c r="AB126">
        <v>118.8</v>
      </c>
      <c r="AC126">
        <v>119.6</v>
      </c>
      <c r="AD126">
        <v>128.1</v>
      </c>
    </row>
    <row r="127" spans="1:30">
      <c r="A127" t="s">
        <v>35</v>
      </c>
      <c r="B127">
        <v>2016</v>
      </c>
      <c r="C127" t="s">
        <v>42</v>
      </c>
      <c r="D127">
        <v>127.7</v>
      </c>
      <c r="E127">
        <v>140.5</v>
      </c>
      <c r="F127">
        <v>128.30000000000001</v>
      </c>
      <c r="G127">
        <v>132.6</v>
      </c>
      <c r="H127">
        <v>115.5</v>
      </c>
      <c r="I127">
        <v>136.5</v>
      </c>
      <c r="J127">
        <v>159.69999999999999</v>
      </c>
      <c r="K127">
        <v>174.3</v>
      </c>
      <c r="L127">
        <v>109.9</v>
      </c>
      <c r="M127">
        <v>136.30000000000001</v>
      </c>
      <c r="N127">
        <v>124.4</v>
      </c>
      <c r="O127">
        <v>138.1</v>
      </c>
      <c r="P127">
        <v>136.80000000000001</v>
      </c>
      <c r="Q127">
        <v>138.69999999999999</v>
      </c>
      <c r="R127">
        <v>132.9</v>
      </c>
      <c r="S127">
        <v>127.2</v>
      </c>
      <c r="T127">
        <v>132</v>
      </c>
      <c r="U127" t="s">
        <v>85</v>
      </c>
      <c r="V127">
        <v>123.3</v>
      </c>
      <c r="W127">
        <v>126.4</v>
      </c>
      <c r="X127">
        <v>124.1</v>
      </c>
      <c r="Y127">
        <v>114.2</v>
      </c>
      <c r="Z127">
        <v>121.7</v>
      </c>
      <c r="AA127">
        <v>129.69999999999999</v>
      </c>
      <c r="AB127">
        <v>119.4</v>
      </c>
      <c r="AC127">
        <v>121.5</v>
      </c>
      <c r="AD127">
        <v>130.1</v>
      </c>
    </row>
    <row r="128" spans="1:30">
      <c r="A128" t="s">
        <v>30</v>
      </c>
      <c r="B128">
        <v>2016</v>
      </c>
      <c r="C128" t="s">
        <v>44</v>
      </c>
      <c r="D128">
        <v>129.30000000000001</v>
      </c>
      <c r="E128">
        <v>139.5</v>
      </c>
      <c r="F128">
        <v>129.6</v>
      </c>
      <c r="G128">
        <v>134.5</v>
      </c>
      <c r="H128">
        <v>119.5</v>
      </c>
      <c r="I128">
        <v>138.5</v>
      </c>
      <c r="J128">
        <v>158.19999999999999</v>
      </c>
      <c r="K128">
        <v>171.8</v>
      </c>
      <c r="L128">
        <v>110.3</v>
      </c>
      <c r="M128">
        <v>134.30000000000001</v>
      </c>
      <c r="N128">
        <v>127.3</v>
      </c>
      <c r="O128">
        <v>139.9</v>
      </c>
      <c r="P128">
        <v>137.6</v>
      </c>
      <c r="Q128">
        <v>138</v>
      </c>
      <c r="R128">
        <v>137.19999999999999</v>
      </c>
      <c r="S128">
        <v>132.19999999999999</v>
      </c>
      <c r="T128">
        <v>136.5</v>
      </c>
      <c r="U128" t="s">
        <v>32</v>
      </c>
      <c r="V128">
        <v>128.19999999999999</v>
      </c>
      <c r="W128">
        <v>130</v>
      </c>
      <c r="X128">
        <v>126.7</v>
      </c>
      <c r="Y128">
        <v>116.4</v>
      </c>
      <c r="Z128">
        <v>125.2</v>
      </c>
      <c r="AA128">
        <v>130.80000000000001</v>
      </c>
      <c r="AB128">
        <v>120.9</v>
      </c>
      <c r="AC128">
        <v>123.8</v>
      </c>
      <c r="AD128">
        <v>133</v>
      </c>
    </row>
    <row r="129" spans="1:30">
      <c r="A129" t="s">
        <v>33</v>
      </c>
      <c r="B129">
        <v>2016</v>
      </c>
      <c r="C129" t="s">
        <v>44</v>
      </c>
      <c r="D129">
        <v>126.8</v>
      </c>
      <c r="E129">
        <v>144.19999999999999</v>
      </c>
      <c r="F129">
        <v>136.6</v>
      </c>
      <c r="G129">
        <v>131.80000000000001</v>
      </c>
      <c r="H129">
        <v>111</v>
      </c>
      <c r="I129">
        <v>137</v>
      </c>
      <c r="J129">
        <v>179.5</v>
      </c>
      <c r="K129">
        <v>188.4</v>
      </c>
      <c r="L129">
        <v>113.3</v>
      </c>
      <c r="M129">
        <v>143.9</v>
      </c>
      <c r="N129">
        <v>121.7</v>
      </c>
      <c r="O129">
        <v>137.5</v>
      </c>
      <c r="P129">
        <v>139.80000000000001</v>
      </c>
      <c r="Q129">
        <v>142.9</v>
      </c>
      <c r="R129">
        <v>127.9</v>
      </c>
      <c r="S129">
        <v>121.1</v>
      </c>
      <c r="T129">
        <v>126.9</v>
      </c>
      <c r="U129" t="s">
        <v>86</v>
      </c>
      <c r="V129">
        <v>115.5</v>
      </c>
      <c r="W129">
        <v>123.5</v>
      </c>
      <c r="X129">
        <v>120.9</v>
      </c>
      <c r="Y129">
        <v>111.7</v>
      </c>
      <c r="Z129">
        <v>120.3</v>
      </c>
      <c r="AA129">
        <v>130.80000000000001</v>
      </c>
      <c r="AB129">
        <v>120</v>
      </c>
      <c r="AC129">
        <v>119.9</v>
      </c>
      <c r="AD129">
        <v>129</v>
      </c>
    </row>
    <row r="130" spans="1:30">
      <c r="A130" t="s">
        <v>35</v>
      </c>
      <c r="B130">
        <v>2016</v>
      </c>
      <c r="C130" t="s">
        <v>44</v>
      </c>
      <c r="D130">
        <v>128.5</v>
      </c>
      <c r="E130">
        <v>141.19999999999999</v>
      </c>
      <c r="F130">
        <v>132.30000000000001</v>
      </c>
      <c r="G130">
        <v>133.5</v>
      </c>
      <c r="H130">
        <v>116.4</v>
      </c>
      <c r="I130">
        <v>137.80000000000001</v>
      </c>
      <c r="J130">
        <v>165.4</v>
      </c>
      <c r="K130">
        <v>177.4</v>
      </c>
      <c r="L130">
        <v>111.3</v>
      </c>
      <c r="M130">
        <v>137.5</v>
      </c>
      <c r="N130">
        <v>125</v>
      </c>
      <c r="O130">
        <v>138.80000000000001</v>
      </c>
      <c r="P130">
        <v>138.4</v>
      </c>
      <c r="Q130">
        <v>139.30000000000001</v>
      </c>
      <c r="R130">
        <v>133.5</v>
      </c>
      <c r="S130">
        <v>127.6</v>
      </c>
      <c r="T130">
        <v>132.69999999999999</v>
      </c>
      <c r="U130" t="s">
        <v>86</v>
      </c>
      <c r="V130">
        <v>123.4</v>
      </c>
      <c r="W130">
        <v>126.9</v>
      </c>
      <c r="X130">
        <v>124.5</v>
      </c>
      <c r="Y130">
        <v>113.9</v>
      </c>
      <c r="Z130">
        <v>122.4</v>
      </c>
      <c r="AA130">
        <v>130.80000000000001</v>
      </c>
      <c r="AB130">
        <v>120.5</v>
      </c>
      <c r="AC130">
        <v>121.9</v>
      </c>
      <c r="AD130">
        <v>131.1</v>
      </c>
    </row>
    <row r="131" spans="1:30">
      <c r="A131" t="s">
        <v>30</v>
      </c>
      <c r="B131">
        <v>2016</v>
      </c>
      <c r="C131" t="s">
        <v>46</v>
      </c>
      <c r="D131">
        <v>130.1</v>
      </c>
      <c r="E131">
        <v>138.80000000000001</v>
      </c>
      <c r="F131">
        <v>130.30000000000001</v>
      </c>
      <c r="G131">
        <v>135.30000000000001</v>
      </c>
      <c r="H131">
        <v>119.9</v>
      </c>
      <c r="I131">
        <v>140.19999999999999</v>
      </c>
      <c r="J131">
        <v>156.9</v>
      </c>
      <c r="K131">
        <v>172.2</v>
      </c>
      <c r="L131">
        <v>112.1</v>
      </c>
      <c r="M131">
        <v>134.9</v>
      </c>
      <c r="N131">
        <v>128.1</v>
      </c>
      <c r="O131">
        <v>140.69999999999999</v>
      </c>
      <c r="P131">
        <v>138</v>
      </c>
      <c r="Q131">
        <v>138.9</v>
      </c>
      <c r="R131">
        <v>137.80000000000001</v>
      </c>
      <c r="S131">
        <v>133</v>
      </c>
      <c r="T131">
        <v>137.1</v>
      </c>
      <c r="U131" t="s">
        <v>32</v>
      </c>
      <c r="V131">
        <v>129.1</v>
      </c>
      <c r="W131">
        <v>130.6</v>
      </c>
      <c r="X131">
        <v>127</v>
      </c>
      <c r="Y131">
        <v>116</v>
      </c>
      <c r="Z131">
        <v>125.5</v>
      </c>
      <c r="AA131">
        <v>131.9</v>
      </c>
      <c r="AB131">
        <v>122</v>
      </c>
      <c r="AC131">
        <v>124.2</v>
      </c>
      <c r="AD131">
        <v>133.5</v>
      </c>
    </row>
    <row r="132" spans="1:30">
      <c r="A132" t="s">
        <v>33</v>
      </c>
      <c r="B132">
        <v>2016</v>
      </c>
      <c r="C132" t="s">
        <v>46</v>
      </c>
      <c r="D132">
        <v>127.6</v>
      </c>
      <c r="E132">
        <v>140.30000000000001</v>
      </c>
      <c r="F132">
        <v>133.69999999999999</v>
      </c>
      <c r="G132">
        <v>132.19999999999999</v>
      </c>
      <c r="H132">
        <v>111.8</v>
      </c>
      <c r="I132">
        <v>135.80000000000001</v>
      </c>
      <c r="J132">
        <v>163.5</v>
      </c>
      <c r="K132">
        <v>182.3</v>
      </c>
      <c r="L132">
        <v>114.6</v>
      </c>
      <c r="M132">
        <v>144.6</v>
      </c>
      <c r="N132">
        <v>121.9</v>
      </c>
      <c r="O132">
        <v>138.1</v>
      </c>
      <c r="P132">
        <v>137.6</v>
      </c>
      <c r="Q132">
        <v>143.6</v>
      </c>
      <c r="R132">
        <v>128.30000000000001</v>
      </c>
      <c r="S132">
        <v>121.4</v>
      </c>
      <c r="T132">
        <v>127.3</v>
      </c>
      <c r="U132" t="s">
        <v>87</v>
      </c>
      <c r="V132">
        <v>114.7</v>
      </c>
      <c r="W132">
        <v>123.9</v>
      </c>
      <c r="X132">
        <v>121.2</v>
      </c>
      <c r="Y132">
        <v>110.4</v>
      </c>
      <c r="Z132">
        <v>120.6</v>
      </c>
      <c r="AA132">
        <v>131.5</v>
      </c>
      <c r="AB132">
        <v>120.9</v>
      </c>
      <c r="AC132">
        <v>119.9</v>
      </c>
      <c r="AD132">
        <v>128.4</v>
      </c>
    </row>
    <row r="133" spans="1:30">
      <c r="A133" t="s">
        <v>35</v>
      </c>
      <c r="B133">
        <v>2016</v>
      </c>
      <c r="C133" t="s">
        <v>46</v>
      </c>
      <c r="D133">
        <v>129.30000000000001</v>
      </c>
      <c r="E133">
        <v>139.30000000000001</v>
      </c>
      <c r="F133">
        <v>131.6</v>
      </c>
      <c r="G133">
        <v>134.1</v>
      </c>
      <c r="H133">
        <v>116.9</v>
      </c>
      <c r="I133">
        <v>138.1</v>
      </c>
      <c r="J133">
        <v>159.1</v>
      </c>
      <c r="K133">
        <v>175.6</v>
      </c>
      <c r="L133">
        <v>112.9</v>
      </c>
      <c r="M133">
        <v>138.1</v>
      </c>
      <c r="N133">
        <v>125.5</v>
      </c>
      <c r="O133">
        <v>139.5</v>
      </c>
      <c r="P133">
        <v>137.9</v>
      </c>
      <c r="Q133">
        <v>140.19999999999999</v>
      </c>
      <c r="R133">
        <v>134.1</v>
      </c>
      <c r="S133">
        <v>128.19999999999999</v>
      </c>
      <c r="T133">
        <v>133.19999999999999</v>
      </c>
      <c r="U133" t="s">
        <v>87</v>
      </c>
      <c r="V133">
        <v>123.6</v>
      </c>
      <c r="W133">
        <v>127.4</v>
      </c>
      <c r="X133">
        <v>124.8</v>
      </c>
      <c r="Y133">
        <v>113.1</v>
      </c>
      <c r="Z133">
        <v>122.7</v>
      </c>
      <c r="AA133">
        <v>131.69999999999999</v>
      </c>
      <c r="AB133">
        <v>121.5</v>
      </c>
      <c r="AC133">
        <v>122.1</v>
      </c>
      <c r="AD133">
        <v>131.1</v>
      </c>
    </row>
    <row r="134" spans="1:30">
      <c r="A134" t="s">
        <v>30</v>
      </c>
      <c r="B134">
        <v>2016</v>
      </c>
      <c r="C134" t="s">
        <v>48</v>
      </c>
      <c r="D134">
        <v>130.80000000000001</v>
      </c>
      <c r="E134">
        <v>138.19999999999999</v>
      </c>
      <c r="F134">
        <v>130.5</v>
      </c>
      <c r="G134">
        <v>135.5</v>
      </c>
      <c r="H134">
        <v>120.2</v>
      </c>
      <c r="I134">
        <v>139.19999999999999</v>
      </c>
      <c r="J134">
        <v>149.5</v>
      </c>
      <c r="K134">
        <v>170.4</v>
      </c>
      <c r="L134">
        <v>113.1</v>
      </c>
      <c r="M134">
        <v>135.80000000000001</v>
      </c>
      <c r="N134">
        <v>128.80000000000001</v>
      </c>
      <c r="O134">
        <v>141.5</v>
      </c>
      <c r="P134">
        <v>137.19999999999999</v>
      </c>
      <c r="Q134">
        <v>139.9</v>
      </c>
      <c r="R134">
        <v>138.5</v>
      </c>
      <c r="S134">
        <v>133.5</v>
      </c>
      <c r="T134">
        <v>137.80000000000001</v>
      </c>
      <c r="U134" t="s">
        <v>32</v>
      </c>
      <c r="V134">
        <v>129.69999999999999</v>
      </c>
      <c r="W134">
        <v>131.1</v>
      </c>
      <c r="X134">
        <v>127.8</v>
      </c>
      <c r="Y134">
        <v>117</v>
      </c>
      <c r="Z134">
        <v>125.7</v>
      </c>
      <c r="AA134">
        <v>132.19999999999999</v>
      </c>
      <c r="AB134">
        <v>122.8</v>
      </c>
      <c r="AC134">
        <v>124.9</v>
      </c>
      <c r="AD134">
        <v>133.4</v>
      </c>
    </row>
    <row r="135" spans="1:30">
      <c r="A135" t="s">
        <v>33</v>
      </c>
      <c r="B135">
        <v>2016</v>
      </c>
      <c r="C135" t="s">
        <v>48</v>
      </c>
      <c r="D135">
        <v>128.1</v>
      </c>
      <c r="E135">
        <v>137.69999999999999</v>
      </c>
      <c r="F135">
        <v>130.6</v>
      </c>
      <c r="G135">
        <v>132.6</v>
      </c>
      <c r="H135">
        <v>111.9</v>
      </c>
      <c r="I135">
        <v>132.5</v>
      </c>
      <c r="J135">
        <v>152.9</v>
      </c>
      <c r="K135">
        <v>173.6</v>
      </c>
      <c r="L135">
        <v>115.1</v>
      </c>
      <c r="M135">
        <v>144.80000000000001</v>
      </c>
      <c r="N135">
        <v>122.1</v>
      </c>
      <c r="O135">
        <v>138.80000000000001</v>
      </c>
      <c r="P135">
        <v>135.69999999999999</v>
      </c>
      <c r="Q135">
        <v>143.9</v>
      </c>
      <c r="R135">
        <v>128.69999999999999</v>
      </c>
      <c r="S135">
        <v>121.6</v>
      </c>
      <c r="T135">
        <v>127.7</v>
      </c>
      <c r="U135" t="s">
        <v>88</v>
      </c>
      <c r="V135">
        <v>114.8</v>
      </c>
      <c r="W135">
        <v>124.3</v>
      </c>
      <c r="X135">
        <v>121.4</v>
      </c>
      <c r="Y135">
        <v>111.8</v>
      </c>
      <c r="Z135">
        <v>120.8</v>
      </c>
      <c r="AA135">
        <v>131.6</v>
      </c>
      <c r="AB135">
        <v>121.2</v>
      </c>
      <c r="AC135">
        <v>120.5</v>
      </c>
      <c r="AD135">
        <v>128</v>
      </c>
    </row>
    <row r="136" spans="1:30">
      <c r="A136" t="s">
        <v>35</v>
      </c>
      <c r="B136">
        <v>2016</v>
      </c>
      <c r="C136" t="s">
        <v>48</v>
      </c>
      <c r="D136">
        <v>129.9</v>
      </c>
      <c r="E136">
        <v>138</v>
      </c>
      <c r="F136">
        <v>130.5</v>
      </c>
      <c r="G136">
        <v>134.4</v>
      </c>
      <c r="H136">
        <v>117.2</v>
      </c>
      <c r="I136">
        <v>136.1</v>
      </c>
      <c r="J136">
        <v>150.69999999999999</v>
      </c>
      <c r="K136">
        <v>171.5</v>
      </c>
      <c r="L136">
        <v>113.8</v>
      </c>
      <c r="M136">
        <v>138.80000000000001</v>
      </c>
      <c r="N136">
        <v>126</v>
      </c>
      <c r="O136">
        <v>140.19999999999999</v>
      </c>
      <c r="P136">
        <v>136.6</v>
      </c>
      <c r="Q136">
        <v>141</v>
      </c>
      <c r="R136">
        <v>134.6</v>
      </c>
      <c r="S136">
        <v>128.6</v>
      </c>
      <c r="T136">
        <v>133.80000000000001</v>
      </c>
      <c r="U136" t="s">
        <v>88</v>
      </c>
      <c r="V136">
        <v>124.1</v>
      </c>
      <c r="W136">
        <v>127.9</v>
      </c>
      <c r="X136">
        <v>125.4</v>
      </c>
      <c r="Y136">
        <v>114.3</v>
      </c>
      <c r="Z136">
        <v>122.9</v>
      </c>
      <c r="AA136">
        <v>131.80000000000001</v>
      </c>
      <c r="AB136">
        <v>122.1</v>
      </c>
      <c r="AC136">
        <v>122.8</v>
      </c>
      <c r="AD136">
        <v>130.9</v>
      </c>
    </row>
    <row r="137" spans="1:30">
      <c r="A137" t="s">
        <v>30</v>
      </c>
      <c r="B137">
        <v>2016</v>
      </c>
      <c r="C137" t="s">
        <v>50</v>
      </c>
      <c r="D137">
        <v>131.30000000000001</v>
      </c>
      <c r="E137">
        <v>137.6</v>
      </c>
      <c r="F137">
        <v>130.1</v>
      </c>
      <c r="G137">
        <v>136</v>
      </c>
      <c r="H137">
        <v>120.8</v>
      </c>
      <c r="I137">
        <v>138.4</v>
      </c>
      <c r="J137">
        <v>149.19999999999999</v>
      </c>
      <c r="K137">
        <v>170.2</v>
      </c>
      <c r="L137">
        <v>113.4</v>
      </c>
      <c r="M137">
        <v>136.30000000000001</v>
      </c>
      <c r="N137">
        <v>128.69999999999999</v>
      </c>
      <c r="O137">
        <v>142.4</v>
      </c>
      <c r="P137">
        <v>137.4</v>
      </c>
      <c r="Q137">
        <v>140.9</v>
      </c>
      <c r="R137">
        <v>139.6</v>
      </c>
      <c r="S137">
        <v>134.30000000000001</v>
      </c>
      <c r="T137">
        <v>138.80000000000001</v>
      </c>
      <c r="U137" t="s">
        <v>32</v>
      </c>
      <c r="V137">
        <v>129.80000000000001</v>
      </c>
      <c r="W137">
        <v>131.80000000000001</v>
      </c>
      <c r="X137">
        <v>128.69999999999999</v>
      </c>
      <c r="Y137">
        <v>117.8</v>
      </c>
      <c r="Z137">
        <v>126.5</v>
      </c>
      <c r="AA137">
        <v>133</v>
      </c>
      <c r="AB137">
        <v>123</v>
      </c>
      <c r="AC137">
        <v>125.7</v>
      </c>
      <c r="AD137">
        <v>133.80000000000001</v>
      </c>
    </row>
    <row r="138" spans="1:30">
      <c r="A138" t="s">
        <v>33</v>
      </c>
      <c r="B138">
        <v>2016</v>
      </c>
      <c r="C138" t="s">
        <v>50</v>
      </c>
      <c r="D138">
        <v>128.69999999999999</v>
      </c>
      <c r="E138">
        <v>138.4</v>
      </c>
      <c r="F138">
        <v>130.30000000000001</v>
      </c>
      <c r="G138">
        <v>132.69999999999999</v>
      </c>
      <c r="H138">
        <v>112.5</v>
      </c>
      <c r="I138">
        <v>130.4</v>
      </c>
      <c r="J138">
        <v>155.1</v>
      </c>
      <c r="K138">
        <v>175.7</v>
      </c>
      <c r="L138">
        <v>115.4</v>
      </c>
      <c r="M138">
        <v>145.30000000000001</v>
      </c>
      <c r="N138">
        <v>122.5</v>
      </c>
      <c r="O138">
        <v>139.6</v>
      </c>
      <c r="P138">
        <v>136.30000000000001</v>
      </c>
      <c r="Q138">
        <v>144.30000000000001</v>
      </c>
      <c r="R138">
        <v>129.1</v>
      </c>
      <c r="S138">
        <v>121.9</v>
      </c>
      <c r="T138">
        <v>128</v>
      </c>
      <c r="U138" t="s">
        <v>89</v>
      </c>
      <c r="V138">
        <v>115.2</v>
      </c>
      <c r="W138">
        <v>124.5</v>
      </c>
      <c r="X138">
        <v>121.8</v>
      </c>
      <c r="Y138">
        <v>112.8</v>
      </c>
      <c r="Z138">
        <v>121.2</v>
      </c>
      <c r="AA138">
        <v>131.9</v>
      </c>
      <c r="AB138">
        <v>120.8</v>
      </c>
      <c r="AC138">
        <v>120.9</v>
      </c>
      <c r="AD138">
        <v>128.6</v>
      </c>
    </row>
    <row r="139" spans="1:30">
      <c r="A139" t="s">
        <v>35</v>
      </c>
      <c r="B139">
        <v>2016</v>
      </c>
      <c r="C139" t="s">
        <v>50</v>
      </c>
      <c r="D139">
        <v>130.5</v>
      </c>
      <c r="E139">
        <v>137.9</v>
      </c>
      <c r="F139">
        <v>130.19999999999999</v>
      </c>
      <c r="G139">
        <v>134.80000000000001</v>
      </c>
      <c r="H139">
        <v>117.8</v>
      </c>
      <c r="I139">
        <v>134.69999999999999</v>
      </c>
      <c r="J139">
        <v>151.19999999999999</v>
      </c>
      <c r="K139">
        <v>172.1</v>
      </c>
      <c r="L139">
        <v>114.1</v>
      </c>
      <c r="M139">
        <v>139.30000000000001</v>
      </c>
      <c r="N139">
        <v>126.1</v>
      </c>
      <c r="O139">
        <v>141.1</v>
      </c>
      <c r="P139">
        <v>137</v>
      </c>
      <c r="Q139">
        <v>141.80000000000001</v>
      </c>
      <c r="R139">
        <v>135.5</v>
      </c>
      <c r="S139">
        <v>129.1</v>
      </c>
      <c r="T139">
        <v>134.5</v>
      </c>
      <c r="U139" t="s">
        <v>89</v>
      </c>
      <c r="V139">
        <v>124.3</v>
      </c>
      <c r="W139">
        <v>128.4</v>
      </c>
      <c r="X139">
        <v>126.1</v>
      </c>
      <c r="Y139">
        <v>115.2</v>
      </c>
      <c r="Z139">
        <v>123.5</v>
      </c>
      <c r="AA139">
        <v>132.4</v>
      </c>
      <c r="AB139">
        <v>122.1</v>
      </c>
      <c r="AC139">
        <v>123.4</v>
      </c>
      <c r="AD139">
        <v>131.4</v>
      </c>
    </row>
    <row r="140" spans="1:30">
      <c r="A140" t="s">
        <v>30</v>
      </c>
      <c r="B140">
        <v>2016</v>
      </c>
      <c r="C140" t="s">
        <v>53</v>
      </c>
      <c r="D140">
        <v>132</v>
      </c>
      <c r="E140">
        <v>137.4</v>
      </c>
      <c r="F140">
        <v>130.6</v>
      </c>
      <c r="G140">
        <v>136.19999999999999</v>
      </c>
      <c r="H140">
        <v>121.1</v>
      </c>
      <c r="I140">
        <v>136.9</v>
      </c>
      <c r="J140">
        <v>141.80000000000001</v>
      </c>
      <c r="K140">
        <v>170</v>
      </c>
      <c r="L140">
        <v>113.4</v>
      </c>
      <c r="M140">
        <v>136.80000000000001</v>
      </c>
      <c r="N140">
        <v>128.69999999999999</v>
      </c>
      <c r="O140">
        <v>143.1</v>
      </c>
      <c r="P140">
        <v>136.6</v>
      </c>
      <c r="Q140">
        <v>141.19999999999999</v>
      </c>
      <c r="R140">
        <v>139.9</v>
      </c>
      <c r="S140">
        <v>134.5</v>
      </c>
      <c r="T140">
        <v>139.19999999999999</v>
      </c>
      <c r="U140" t="s">
        <v>32</v>
      </c>
      <c r="V140">
        <v>130.30000000000001</v>
      </c>
      <c r="W140">
        <v>132.1</v>
      </c>
      <c r="X140">
        <v>129.1</v>
      </c>
      <c r="Y140">
        <v>118.2</v>
      </c>
      <c r="Z140">
        <v>126.9</v>
      </c>
      <c r="AA140">
        <v>133.69999999999999</v>
      </c>
      <c r="AB140">
        <v>123.5</v>
      </c>
      <c r="AC140">
        <v>126.1</v>
      </c>
      <c r="AD140">
        <v>133.6</v>
      </c>
    </row>
    <row r="141" spans="1:30">
      <c r="A141" t="s">
        <v>33</v>
      </c>
      <c r="B141">
        <v>2016</v>
      </c>
      <c r="C141" t="s">
        <v>53</v>
      </c>
      <c r="D141">
        <v>130.19999999999999</v>
      </c>
      <c r="E141">
        <v>138.5</v>
      </c>
      <c r="F141">
        <v>134.1</v>
      </c>
      <c r="G141">
        <v>132.9</v>
      </c>
      <c r="H141">
        <v>112.6</v>
      </c>
      <c r="I141">
        <v>130.80000000000001</v>
      </c>
      <c r="J141">
        <v>142</v>
      </c>
      <c r="K141">
        <v>174.9</v>
      </c>
      <c r="L141">
        <v>115.6</v>
      </c>
      <c r="M141">
        <v>145.4</v>
      </c>
      <c r="N141">
        <v>122.7</v>
      </c>
      <c r="O141">
        <v>140.30000000000001</v>
      </c>
      <c r="P141">
        <v>135.19999999999999</v>
      </c>
      <c r="Q141">
        <v>144.30000000000001</v>
      </c>
      <c r="R141">
        <v>129.6</v>
      </c>
      <c r="S141">
        <v>122.1</v>
      </c>
      <c r="T141">
        <v>128.5</v>
      </c>
      <c r="U141" t="s">
        <v>90</v>
      </c>
      <c r="V141">
        <v>116.2</v>
      </c>
      <c r="W141">
        <v>124.7</v>
      </c>
      <c r="X141">
        <v>122.1</v>
      </c>
      <c r="Y141">
        <v>113.4</v>
      </c>
      <c r="Z141">
        <v>121.7</v>
      </c>
      <c r="AA141">
        <v>132.1</v>
      </c>
      <c r="AB141">
        <v>121.3</v>
      </c>
      <c r="AC141">
        <v>121.3</v>
      </c>
      <c r="AD141">
        <v>128.5</v>
      </c>
    </row>
    <row r="142" spans="1:30">
      <c r="A142" t="s">
        <v>35</v>
      </c>
      <c r="B142">
        <v>2016</v>
      </c>
      <c r="C142" t="s">
        <v>53</v>
      </c>
      <c r="D142">
        <v>131.4</v>
      </c>
      <c r="E142">
        <v>137.80000000000001</v>
      </c>
      <c r="F142">
        <v>132</v>
      </c>
      <c r="G142">
        <v>135</v>
      </c>
      <c r="H142">
        <v>118</v>
      </c>
      <c r="I142">
        <v>134.1</v>
      </c>
      <c r="J142">
        <v>141.9</v>
      </c>
      <c r="K142">
        <v>171.7</v>
      </c>
      <c r="L142">
        <v>114.1</v>
      </c>
      <c r="M142">
        <v>139.69999999999999</v>
      </c>
      <c r="N142">
        <v>126.2</v>
      </c>
      <c r="O142">
        <v>141.80000000000001</v>
      </c>
      <c r="P142">
        <v>136.1</v>
      </c>
      <c r="Q142">
        <v>142</v>
      </c>
      <c r="R142">
        <v>135.80000000000001</v>
      </c>
      <c r="S142">
        <v>129.30000000000001</v>
      </c>
      <c r="T142">
        <v>135</v>
      </c>
      <c r="U142" t="s">
        <v>90</v>
      </c>
      <c r="V142">
        <v>125</v>
      </c>
      <c r="W142">
        <v>128.6</v>
      </c>
      <c r="X142">
        <v>126.4</v>
      </c>
      <c r="Y142">
        <v>115.7</v>
      </c>
      <c r="Z142">
        <v>124</v>
      </c>
      <c r="AA142">
        <v>132.80000000000001</v>
      </c>
      <c r="AB142">
        <v>122.6</v>
      </c>
      <c r="AC142">
        <v>123.8</v>
      </c>
      <c r="AD142">
        <v>131.19999999999999</v>
      </c>
    </row>
    <row r="143" spans="1:30">
      <c r="A143" t="s">
        <v>30</v>
      </c>
      <c r="B143">
        <v>2016</v>
      </c>
      <c r="C143" t="s">
        <v>55</v>
      </c>
      <c r="D143">
        <v>132.6</v>
      </c>
      <c r="E143">
        <v>137.30000000000001</v>
      </c>
      <c r="F143">
        <v>131.6</v>
      </c>
      <c r="G143">
        <v>136.30000000000001</v>
      </c>
      <c r="H143">
        <v>121.6</v>
      </c>
      <c r="I143">
        <v>135.6</v>
      </c>
      <c r="J143">
        <v>127.5</v>
      </c>
      <c r="K143">
        <v>167.9</v>
      </c>
      <c r="L143">
        <v>113.8</v>
      </c>
      <c r="M143">
        <v>137.5</v>
      </c>
      <c r="N143">
        <v>129.1</v>
      </c>
      <c r="O143">
        <v>143.6</v>
      </c>
      <c r="P143">
        <v>134.69999999999999</v>
      </c>
      <c r="Q143">
        <v>142.4</v>
      </c>
      <c r="R143">
        <v>140.4</v>
      </c>
      <c r="S143">
        <v>135.19999999999999</v>
      </c>
      <c r="T143">
        <v>139.69999999999999</v>
      </c>
      <c r="U143" t="s">
        <v>32</v>
      </c>
      <c r="V143">
        <v>132</v>
      </c>
      <c r="W143">
        <v>132.9</v>
      </c>
      <c r="X143">
        <v>129.69999999999999</v>
      </c>
      <c r="Y143">
        <v>118.6</v>
      </c>
      <c r="Z143">
        <v>127.3</v>
      </c>
      <c r="AA143">
        <v>134.19999999999999</v>
      </c>
      <c r="AB143">
        <v>121.9</v>
      </c>
      <c r="AC143">
        <v>126.3</v>
      </c>
      <c r="AD143">
        <v>132.80000000000001</v>
      </c>
    </row>
    <row r="144" spans="1:30">
      <c r="A144" t="s">
        <v>33</v>
      </c>
      <c r="B144">
        <v>2016</v>
      </c>
      <c r="C144" t="s">
        <v>55</v>
      </c>
      <c r="D144">
        <v>131.6</v>
      </c>
      <c r="E144">
        <v>138.19999999999999</v>
      </c>
      <c r="F144">
        <v>134.9</v>
      </c>
      <c r="G144">
        <v>133.1</v>
      </c>
      <c r="H144">
        <v>113.5</v>
      </c>
      <c r="I144">
        <v>129.30000000000001</v>
      </c>
      <c r="J144">
        <v>121.1</v>
      </c>
      <c r="K144">
        <v>170.3</v>
      </c>
      <c r="L144">
        <v>115.5</v>
      </c>
      <c r="M144">
        <v>145.5</v>
      </c>
      <c r="N144">
        <v>123.1</v>
      </c>
      <c r="O144">
        <v>140.9</v>
      </c>
      <c r="P144">
        <v>132.80000000000001</v>
      </c>
      <c r="Q144">
        <v>145</v>
      </c>
      <c r="R144">
        <v>130</v>
      </c>
      <c r="S144">
        <v>122.2</v>
      </c>
      <c r="T144">
        <v>128.80000000000001</v>
      </c>
      <c r="U144" t="s">
        <v>91</v>
      </c>
      <c r="V144">
        <v>117.8</v>
      </c>
      <c r="W144">
        <v>125</v>
      </c>
      <c r="X144">
        <v>122.3</v>
      </c>
      <c r="Y144">
        <v>113.7</v>
      </c>
      <c r="Z144">
        <v>121.8</v>
      </c>
      <c r="AA144">
        <v>132.30000000000001</v>
      </c>
      <c r="AB144">
        <v>119.9</v>
      </c>
      <c r="AC144">
        <v>121.4</v>
      </c>
      <c r="AD144">
        <v>127.6</v>
      </c>
    </row>
    <row r="145" spans="1:30">
      <c r="A145" t="s">
        <v>35</v>
      </c>
      <c r="B145">
        <v>2016</v>
      </c>
      <c r="C145" t="s">
        <v>55</v>
      </c>
      <c r="D145">
        <v>132.30000000000001</v>
      </c>
      <c r="E145">
        <v>137.6</v>
      </c>
      <c r="F145">
        <v>132.9</v>
      </c>
      <c r="G145">
        <v>135.1</v>
      </c>
      <c r="H145">
        <v>118.6</v>
      </c>
      <c r="I145">
        <v>132.69999999999999</v>
      </c>
      <c r="J145">
        <v>125.3</v>
      </c>
      <c r="K145">
        <v>168.7</v>
      </c>
      <c r="L145">
        <v>114.4</v>
      </c>
      <c r="M145">
        <v>140.19999999999999</v>
      </c>
      <c r="N145">
        <v>126.6</v>
      </c>
      <c r="O145">
        <v>142.30000000000001</v>
      </c>
      <c r="P145">
        <v>134</v>
      </c>
      <c r="Q145">
        <v>143.1</v>
      </c>
      <c r="R145">
        <v>136.30000000000001</v>
      </c>
      <c r="S145">
        <v>129.80000000000001</v>
      </c>
      <c r="T145">
        <v>135.4</v>
      </c>
      <c r="U145" t="s">
        <v>91</v>
      </c>
      <c r="V145">
        <v>126.6</v>
      </c>
      <c r="W145">
        <v>129.19999999999999</v>
      </c>
      <c r="X145">
        <v>126.9</v>
      </c>
      <c r="Y145">
        <v>116</v>
      </c>
      <c r="Z145">
        <v>124.2</v>
      </c>
      <c r="AA145">
        <v>133.1</v>
      </c>
      <c r="AB145">
        <v>121.1</v>
      </c>
      <c r="AC145">
        <v>123.9</v>
      </c>
      <c r="AD145">
        <v>130.4</v>
      </c>
    </row>
    <row r="146" spans="1:30">
      <c r="A146" t="s">
        <v>30</v>
      </c>
      <c r="B146">
        <v>2017</v>
      </c>
      <c r="C146" t="s">
        <v>31</v>
      </c>
      <c r="D146">
        <v>133.1</v>
      </c>
      <c r="E146">
        <v>137.80000000000001</v>
      </c>
      <c r="F146">
        <v>131.9</v>
      </c>
      <c r="G146">
        <v>136.69999999999999</v>
      </c>
      <c r="H146">
        <v>122</v>
      </c>
      <c r="I146">
        <v>136</v>
      </c>
      <c r="J146">
        <v>119.8</v>
      </c>
      <c r="K146">
        <v>161.69999999999999</v>
      </c>
      <c r="L146">
        <v>114.8</v>
      </c>
      <c r="M146">
        <v>136.9</v>
      </c>
      <c r="N146">
        <v>129</v>
      </c>
      <c r="O146">
        <v>143.9</v>
      </c>
      <c r="P146">
        <v>133.69999999999999</v>
      </c>
      <c r="Q146">
        <v>143.1</v>
      </c>
      <c r="R146">
        <v>140.69999999999999</v>
      </c>
      <c r="S146">
        <v>135.80000000000001</v>
      </c>
      <c r="T146">
        <v>140</v>
      </c>
      <c r="U146" t="s">
        <v>32</v>
      </c>
      <c r="V146">
        <v>132.1</v>
      </c>
      <c r="W146">
        <v>133.19999999999999</v>
      </c>
      <c r="X146">
        <v>129.9</v>
      </c>
      <c r="Y146">
        <v>119.1</v>
      </c>
      <c r="Z146">
        <v>127</v>
      </c>
      <c r="AA146">
        <v>134.6</v>
      </c>
      <c r="AB146">
        <v>122.3</v>
      </c>
      <c r="AC146">
        <v>126.6</v>
      </c>
      <c r="AD146">
        <v>132.4</v>
      </c>
    </row>
    <row r="147" spans="1:30">
      <c r="A147" t="s">
        <v>33</v>
      </c>
      <c r="B147">
        <v>2017</v>
      </c>
      <c r="C147" t="s">
        <v>31</v>
      </c>
      <c r="D147">
        <v>132.19999999999999</v>
      </c>
      <c r="E147">
        <v>138.9</v>
      </c>
      <c r="F147">
        <v>132.6</v>
      </c>
      <c r="G147">
        <v>133.1</v>
      </c>
      <c r="H147">
        <v>114</v>
      </c>
      <c r="I147">
        <v>129.6</v>
      </c>
      <c r="J147">
        <v>118.7</v>
      </c>
      <c r="K147">
        <v>155.1</v>
      </c>
      <c r="L147">
        <v>117.3</v>
      </c>
      <c r="M147">
        <v>144.9</v>
      </c>
      <c r="N147">
        <v>123.2</v>
      </c>
      <c r="O147">
        <v>141.6</v>
      </c>
      <c r="P147">
        <v>132</v>
      </c>
      <c r="Q147">
        <v>145.6</v>
      </c>
      <c r="R147">
        <v>130.19999999999999</v>
      </c>
      <c r="S147">
        <v>122.3</v>
      </c>
      <c r="T147">
        <v>129</v>
      </c>
      <c r="U147" t="s">
        <v>92</v>
      </c>
      <c r="V147">
        <v>118</v>
      </c>
      <c r="W147">
        <v>125.1</v>
      </c>
      <c r="X147">
        <v>122.6</v>
      </c>
      <c r="Y147">
        <v>115.2</v>
      </c>
      <c r="Z147">
        <v>122</v>
      </c>
      <c r="AA147">
        <v>132.4</v>
      </c>
      <c r="AB147">
        <v>120.9</v>
      </c>
      <c r="AC147">
        <v>122.1</v>
      </c>
      <c r="AD147">
        <v>127.8</v>
      </c>
    </row>
    <row r="148" spans="1:30">
      <c r="A148" t="s">
        <v>35</v>
      </c>
      <c r="B148">
        <v>2017</v>
      </c>
      <c r="C148" t="s">
        <v>31</v>
      </c>
      <c r="D148">
        <v>132.80000000000001</v>
      </c>
      <c r="E148">
        <v>138.19999999999999</v>
      </c>
      <c r="F148">
        <v>132.19999999999999</v>
      </c>
      <c r="G148">
        <v>135.4</v>
      </c>
      <c r="H148">
        <v>119.1</v>
      </c>
      <c r="I148">
        <v>133</v>
      </c>
      <c r="J148">
        <v>119.4</v>
      </c>
      <c r="K148">
        <v>159.5</v>
      </c>
      <c r="L148">
        <v>115.6</v>
      </c>
      <c r="M148">
        <v>139.6</v>
      </c>
      <c r="N148">
        <v>126.6</v>
      </c>
      <c r="O148">
        <v>142.80000000000001</v>
      </c>
      <c r="P148">
        <v>133.1</v>
      </c>
      <c r="Q148">
        <v>143.80000000000001</v>
      </c>
      <c r="R148">
        <v>136.6</v>
      </c>
      <c r="S148">
        <v>130.19999999999999</v>
      </c>
      <c r="T148">
        <v>135.6</v>
      </c>
      <c r="U148" t="s">
        <v>92</v>
      </c>
      <c r="V148">
        <v>126.8</v>
      </c>
      <c r="W148">
        <v>129.4</v>
      </c>
      <c r="X148">
        <v>127.1</v>
      </c>
      <c r="Y148">
        <v>117</v>
      </c>
      <c r="Z148">
        <v>124.2</v>
      </c>
      <c r="AA148">
        <v>133.30000000000001</v>
      </c>
      <c r="AB148">
        <v>121.7</v>
      </c>
      <c r="AC148">
        <v>124.4</v>
      </c>
      <c r="AD148">
        <v>130.30000000000001</v>
      </c>
    </row>
    <row r="149" spans="1:30">
      <c r="A149" t="s">
        <v>30</v>
      </c>
      <c r="B149">
        <v>2017</v>
      </c>
      <c r="C149" t="s">
        <v>36</v>
      </c>
      <c r="D149">
        <v>133.30000000000001</v>
      </c>
      <c r="E149">
        <v>138.30000000000001</v>
      </c>
      <c r="F149">
        <v>129.30000000000001</v>
      </c>
      <c r="G149">
        <v>137.19999999999999</v>
      </c>
      <c r="H149">
        <v>122.1</v>
      </c>
      <c r="I149">
        <v>138.69999999999999</v>
      </c>
      <c r="J149">
        <v>119.1</v>
      </c>
      <c r="K149">
        <v>156.9</v>
      </c>
      <c r="L149">
        <v>116.2</v>
      </c>
      <c r="M149">
        <v>136</v>
      </c>
      <c r="N149">
        <v>129.4</v>
      </c>
      <c r="O149">
        <v>144.4</v>
      </c>
      <c r="P149">
        <v>133.6</v>
      </c>
      <c r="Q149">
        <v>143.69999999999999</v>
      </c>
      <c r="R149">
        <v>140.9</v>
      </c>
      <c r="S149">
        <v>135.80000000000001</v>
      </c>
      <c r="T149">
        <v>140.19999999999999</v>
      </c>
      <c r="U149" t="s">
        <v>32</v>
      </c>
      <c r="V149">
        <v>133.19999999999999</v>
      </c>
      <c r="W149">
        <v>133.6</v>
      </c>
      <c r="X149">
        <v>130.1</v>
      </c>
      <c r="Y149">
        <v>119.5</v>
      </c>
      <c r="Z149">
        <v>127.7</v>
      </c>
      <c r="AA149">
        <v>134.9</v>
      </c>
      <c r="AB149">
        <v>123.2</v>
      </c>
      <c r="AC149">
        <v>127</v>
      </c>
      <c r="AD149">
        <v>132.6</v>
      </c>
    </row>
    <row r="150" spans="1:30">
      <c r="A150" t="s">
        <v>33</v>
      </c>
      <c r="B150">
        <v>2017</v>
      </c>
      <c r="C150" t="s">
        <v>36</v>
      </c>
      <c r="D150">
        <v>132.80000000000001</v>
      </c>
      <c r="E150">
        <v>139.80000000000001</v>
      </c>
      <c r="F150">
        <v>129.30000000000001</v>
      </c>
      <c r="G150">
        <v>133.5</v>
      </c>
      <c r="H150">
        <v>114.3</v>
      </c>
      <c r="I150">
        <v>131.4</v>
      </c>
      <c r="J150">
        <v>120.2</v>
      </c>
      <c r="K150">
        <v>143.1</v>
      </c>
      <c r="L150">
        <v>119.5</v>
      </c>
      <c r="M150">
        <v>144</v>
      </c>
      <c r="N150">
        <v>123.4</v>
      </c>
      <c r="O150">
        <v>141.9</v>
      </c>
      <c r="P150">
        <v>132.1</v>
      </c>
      <c r="Q150">
        <v>146.30000000000001</v>
      </c>
      <c r="R150">
        <v>130.5</v>
      </c>
      <c r="S150">
        <v>122.5</v>
      </c>
      <c r="T150">
        <v>129.30000000000001</v>
      </c>
      <c r="U150" t="s">
        <v>93</v>
      </c>
      <c r="V150">
        <v>119.2</v>
      </c>
      <c r="W150">
        <v>125.3</v>
      </c>
      <c r="X150">
        <v>122.9</v>
      </c>
      <c r="Y150">
        <v>115.5</v>
      </c>
      <c r="Z150">
        <v>122.2</v>
      </c>
      <c r="AA150">
        <v>132.4</v>
      </c>
      <c r="AB150">
        <v>121.7</v>
      </c>
      <c r="AC150">
        <v>122.4</v>
      </c>
      <c r="AD150">
        <v>128.19999999999999</v>
      </c>
    </row>
    <row r="151" spans="1:30">
      <c r="A151" t="s">
        <v>35</v>
      </c>
      <c r="B151">
        <v>2017</v>
      </c>
      <c r="C151" t="s">
        <v>36</v>
      </c>
      <c r="D151">
        <v>133.1</v>
      </c>
      <c r="E151">
        <v>138.80000000000001</v>
      </c>
      <c r="F151">
        <v>129.30000000000001</v>
      </c>
      <c r="G151">
        <v>135.80000000000001</v>
      </c>
      <c r="H151">
        <v>119.2</v>
      </c>
      <c r="I151">
        <v>135.30000000000001</v>
      </c>
      <c r="J151">
        <v>119.5</v>
      </c>
      <c r="K151">
        <v>152.19999999999999</v>
      </c>
      <c r="L151">
        <v>117.3</v>
      </c>
      <c r="M151">
        <v>138.69999999999999</v>
      </c>
      <c r="N151">
        <v>126.9</v>
      </c>
      <c r="O151">
        <v>143.19999999999999</v>
      </c>
      <c r="P151">
        <v>133</v>
      </c>
      <c r="Q151">
        <v>144.4</v>
      </c>
      <c r="R151">
        <v>136.80000000000001</v>
      </c>
      <c r="S151">
        <v>130.30000000000001</v>
      </c>
      <c r="T151">
        <v>135.9</v>
      </c>
      <c r="U151" t="s">
        <v>93</v>
      </c>
      <c r="V151">
        <v>127.9</v>
      </c>
      <c r="W151">
        <v>129.69999999999999</v>
      </c>
      <c r="X151">
        <v>127.4</v>
      </c>
      <c r="Y151">
        <v>117.4</v>
      </c>
      <c r="Z151">
        <v>124.6</v>
      </c>
      <c r="AA151">
        <v>133.4</v>
      </c>
      <c r="AB151">
        <v>122.6</v>
      </c>
      <c r="AC151">
        <v>124.8</v>
      </c>
      <c r="AD151">
        <v>130.6</v>
      </c>
    </row>
    <row r="152" spans="1:30">
      <c r="A152" t="s">
        <v>30</v>
      </c>
      <c r="B152">
        <v>2017</v>
      </c>
      <c r="C152" t="s">
        <v>38</v>
      </c>
      <c r="D152">
        <v>133.6</v>
      </c>
      <c r="E152">
        <v>138.80000000000001</v>
      </c>
      <c r="F152">
        <v>128.80000000000001</v>
      </c>
      <c r="G152">
        <v>137.19999999999999</v>
      </c>
      <c r="H152">
        <v>121.6</v>
      </c>
      <c r="I152">
        <v>139.69999999999999</v>
      </c>
      <c r="J152">
        <v>119.7</v>
      </c>
      <c r="K152">
        <v>148</v>
      </c>
      <c r="L152">
        <v>116.9</v>
      </c>
      <c r="M152">
        <v>135.6</v>
      </c>
      <c r="N152">
        <v>129.80000000000001</v>
      </c>
      <c r="O152">
        <v>145.4</v>
      </c>
      <c r="P152">
        <v>133.4</v>
      </c>
      <c r="Q152">
        <v>144.19999999999999</v>
      </c>
      <c r="R152">
        <v>141.6</v>
      </c>
      <c r="S152">
        <v>136.19999999999999</v>
      </c>
      <c r="T152">
        <v>140.80000000000001</v>
      </c>
      <c r="U152" t="s">
        <v>32</v>
      </c>
      <c r="V152">
        <v>134.19999999999999</v>
      </c>
      <c r="W152">
        <v>134.1</v>
      </c>
      <c r="X152">
        <v>130.6</v>
      </c>
      <c r="Y152">
        <v>119.8</v>
      </c>
      <c r="Z152">
        <v>128.30000000000001</v>
      </c>
      <c r="AA152">
        <v>135.19999999999999</v>
      </c>
      <c r="AB152">
        <v>123.3</v>
      </c>
      <c r="AC152">
        <v>127.4</v>
      </c>
      <c r="AD152">
        <v>132.80000000000001</v>
      </c>
    </row>
    <row r="153" spans="1:30">
      <c r="A153" t="s">
        <v>33</v>
      </c>
      <c r="B153">
        <v>2017</v>
      </c>
      <c r="C153" t="s">
        <v>38</v>
      </c>
      <c r="D153">
        <v>132.69999999999999</v>
      </c>
      <c r="E153">
        <v>139.4</v>
      </c>
      <c r="F153">
        <v>128.4</v>
      </c>
      <c r="G153">
        <v>134.9</v>
      </c>
      <c r="H153">
        <v>114</v>
      </c>
      <c r="I153">
        <v>136.80000000000001</v>
      </c>
      <c r="J153">
        <v>122.2</v>
      </c>
      <c r="K153">
        <v>135.80000000000001</v>
      </c>
      <c r="L153">
        <v>120.3</v>
      </c>
      <c r="M153">
        <v>142.6</v>
      </c>
      <c r="N153">
        <v>123.6</v>
      </c>
      <c r="O153">
        <v>142.4</v>
      </c>
      <c r="P153">
        <v>132.6</v>
      </c>
      <c r="Q153">
        <v>147.5</v>
      </c>
      <c r="R153">
        <v>130.80000000000001</v>
      </c>
      <c r="S153">
        <v>122.8</v>
      </c>
      <c r="T153">
        <v>129.6</v>
      </c>
      <c r="U153" t="s">
        <v>94</v>
      </c>
      <c r="V153">
        <v>120.8</v>
      </c>
      <c r="W153">
        <v>125.6</v>
      </c>
      <c r="X153">
        <v>123.1</v>
      </c>
      <c r="Y153">
        <v>115.6</v>
      </c>
      <c r="Z153">
        <v>122.4</v>
      </c>
      <c r="AA153">
        <v>132.80000000000001</v>
      </c>
      <c r="AB153">
        <v>121.7</v>
      </c>
      <c r="AC153">
        <v>122.6</v>
      </c>
      <c r="AD153">
        <v>128.69999999999999</v>
      </c>
    </row>
    <row r="154" spans="1:30">
      <c r="A154" t="s">
        <v>35</v>
      </c>
      <c r="B154">
        <v>2017</v>
      </c>
      <c r="C154" t="s">
        <v>38</v>
      </c>
      <c r="D154">
        <v>133.30000000000001</v>
      </c>
      <c r="E154">
        <v>139</v>
      </c>
      <c r="F154">
        <v>128.6</v>
      </c>
      <c r="G154">
        <v>136.30000000000001</v>
      </c>
      <c r="H154">
        <v>118.8</v>
      </c>
      <c r="I154">
        <v>138.30000000000001</v>
      </c>
      <c r="J154">
        <v>120.5</v>
      </c>
      <c r="K154">
        <v>143.9</v>
      </c>
      <c r="L154">
        <v>118</v>
      </c>
      <c r="M154">
        <v>137.9</v>
      </c>
      <c r="N154">
        <v>127.2</v>
      </c>
      <c r="O154">
        <v>144</v>
      </c>
      <c r="P154">
        <v>133.1</v>
      </c>
      <c r="Q154">
        <v>145.1</v>
      </c>
      <c r="R154">
        <v>137.30000000000001</v>
      </c>
      <c r="S154">
        <v>130.6</v>
      </c>
      <c r="T154">
        <v>136.4</v>
      </c>
      <c r="U154" t="s">
        <v>94</v>
      </c>
      <c r="V154">
        <v>129.1</v>
      </c>
      <c r="W154">
        <v>130.1</v>
      </c>
      <c r="X154">
        <v>127.8</v>
      </c>
      <c r="Y154">
        <v>117.6</v>
      </c>
      <c r="Z154">
        <v>125</v>
      </c>
      <c r="AA154">
        <v>133.80000000000001</v>
      </c>
      <c r="AB154">
        <v>122.6</v>
      </c>
      <c r="AC154">
        <v>125.1</v>
      </c>
      <c r="AD154">
        <v>130.9</v>
      </c>
    </row>
    <row r="155" spans="1:30">
      <c r="A155" t="s">
        <v>30</v>
      </c>
      <c r="B155">
        <v>2017</v>
      </c>
      <c r="C155" t="s">
        <v>39</v>
      </c>
      <c r="D155">
        <v>133.19999999999999</v>
      </c>
      <c r="E155">
        <v>138.69999999999999</v>
      </c>
      <c r="F155">
        <v>127.1</v>
      </c>
      <c r="G155">
        <v>137.69999999999999</v>
      </c>
      <c r="H155">
        <v>121.3</v>
      </c>
      <c r="I155">
        <v>141.80000000000001</v>
      </c>
      <c r="J155">
        <v>121.5</v>
      </c>
      <c r="K155">
        <v>144.5</v>
      </c>
      <c r="L155">
        <v>117.4</v>
      </c>
      <c r="M155">
        <v>134.1</v>
      </c>
      <c r="N155">
        <v>130</v>
      </c>
      <c r="O155">
        <v>145.5</v>
      </c>
      <c r="P155">
        <v>133.5</v>
      </c>
      <c r="Q155">
        <v>144.4</v>
      </c>
      <c r="R155">
        <v>142.4</v>
      </c>
      <c r="S155">
        <v>136.80000000000001</v>
      </c>
      <c r="T155">
        <v>141.6</v>
      </c>
      <c r="U155" t="s">
        <v>32</v>
      </c>
      <c r="V155">
        <v>135</v>
      </c>
      <c r="W155">
        <v>134.30000000000001</v>
      </c>
      <c r="X155">
        <v>131</v>
      </c>
      <c r="Y155">
        <v>119.2</v>
      </c>
      <c r="Z155">
        <v>128.30000000000001</v>
      </c>
      <c r="AA155">
        <v>135.69999999999999</v>
      </c>
      <c r="AB155">
        <v>123.7</v>
      </c>
      <c r="AC155">
        <v>127.5</v>
      </c>
      <c r="AD155">
        <v>132.9</v>
      </c>
    </row>
    <row r="156" spans="1:30">
      <c r="A156" t="s">
        <v>33</v>
      </c>
      <c r="B156">
        <v>2017</v>
      </c>
      <c r="C156" t="s">
        <v>39</v>
      </c>
      <c r="D156">
        <v>132.69999999999999</v>
      </c>
      <c r="E156">
        <v>140.6</v>
      </c>
      <c r="F156">
        <v>124.5</v>
      </c>
      <c r="G156">
        <v>136.30000000000001</v>
      </c>
      <c r="H156">
        <v>113.5</v>
      </c>
      <c r="I156">
        <v>137.69999999999999</v>
      </c>
      <c r="J156">
        <v>127.1</v>
      </c>
      <c r="K156">
        <v>133.80000000000001</v>
      </c>
      <c r="L156">
        <v>120.8</v>
      </c>
      <c r="M156">
        <v>141.30000000000001</v>
      </c>
      <c r="N156">
        <v>123.8</v>
      </c>
      <c r="O156">
        <v>142.6</v>
      </c>
      <c r="P156">
        <v>133.4</v>
      </c>
      <c r="Q156">
        <v>148</v>
      </c>
      <c r="R156">
        <v>131.19999999999999</v>
      </c>
      <c r="S156">
        <v>123</v>
      </c>
      <c r="T156">
        <v>130</v>
      </c>
      <c r="U156" t="s">
        <v>95</v>
      </c>
      <c r="V156">
        <v>121.4</v>
      </c>
      <c r="W156">
        <v>126</v>
      </c>
      <c r="X156">
        <v>123.4</v>
      </c>
      <c r="Y156">
        <v>114.3</v>
      </c>
      <c r="Z156">
        <v>122.6</v>
      </c>
      <c r="AA156">
        <v>133.6</v>
      </c>
      <c r="AB156">
        <v>122.2</v>
      </c>
      <c r="AC156">
        <v>122.5</v>
      </c>
      <c r="AD156">
        <v>129.1</v>
      </c>
    </row>
    <row r="157" spans="1:30">
      <c r="A157" t="s">
        <v>35</v>
      </c>
      <c r="B157">
        <v>2017</v>
      </c>
      <c r="C157" t="s">
        <v>39</v>
      </c>
      <c r="D157">
        <v>133</v>
      </c>
      <c r="E157">
        <v>139.4</v>
      </c>
      <c r="F157">
        <v>126.1</v>
      </c>
      <c r="G157">
        <v>137.19999999999999</v>
      </c>
      <c r="H157">
        <v>118.4</v>
      </c>
      <c r="I157">
        <v>139.9</v>
      </c>
      <c r="J157">
        <v>123.4</v>
      </c>
      <c r="K157">
        <v>140.9</v>
      </c>
      <c r="L157">
        <v>118.5</v>
      </c>
      <c r="M157">
        <v>136.5</v>
      </c>
      <c r="N157">
        <v>127.4</v>
      </c>
      <c r="O157">
        <v>144.19999999999999</v>
      </c>
      <c r="P157">
        <v>133.5</v>
      </c>
      <c r="Q157">
        <v>145.4</v>
      </c>
      <c r="R157">
        <v>138</v>
      </c>
      <c r="S157">
        <v>131.1</v>
      </c>
      <c r="T157">
        <v>137</v>
      </c>
      <c r="U157" t="s">
        <v>95</v>
      </c>
      <c r="V157">
        <v>129.80000000000001</v>
      </c>
      <c r="W157">
        <v>130.4</v>
      </c>
      <c r="X157">
        <v>128.1</v>
      </c>
      <c r="Y157">
        <v>116.6</v>
      </c>
      <c r="Z157">
        <v>125.1</v>
      </c>
      <c r="AA157">
        <v>134.5</v>
      </c>
      <c r="AB157">
        <v>123.1</v>
      </c>
      <c r="AC157">
        <v>125.1</v>
      </c>
      <c r="AD157">
        <v>131.1</v>
      </c>
    </row>
    <row r="158" spans="1:30">
      <c r="A158" t="s">
        <v>30</v>
      </c>
      <c r="B158">
        <v>2017</v>
      </c>
      <c r="C158" t="s">
        <v>41</v>
      </c>
      <c r="D158">
        <v>133.1</v>
      </c>
      <c r="E158">
        <v>140.30000000000001</v>
      </c>
      <c r="F158">
        <v>126.8</v>
      </c>
      <c r="G158">
        <v>138.19999999999999</v>
      </c>
      <c r="H158">
        <v>120.8</v>
      </c>
      <c r="I158">
        <v>140.19999999999999</v>
      </c>
      <c r="J158">
        <v>123.8</v>
      </c>
      <c r="K158">
        <v>141.80000000000001</v>
      </c>
      <c r="L158">
        <v>118.6</v>
      </c>
      <c r="M158">
        <v>134</v>
      </c>
      <c r="N158">
        <v>130.30000000000001</v>
      </c>
      <c r="O158">
        <v>145.80000000000001</v>
      </c>
      <c r="P158">
        <v>133.80000000000001</v>
      </c>
      <c r="Q158">
        <v>145.5</v>
      </c>
      <c r="R158">
        <v>142.5</v>
      </c>
      <c r="S158">
        <v>137.30000000000001</v>
      </c>
      <c r="T158">
        <v>141.80000000000001</v>
      </c>
      <c r="U158" t="s">
        <v>32</v>
      </c>
      <c r="V158">
        <v>135</v>
      </c>
      <c r="W158">
        <v>134.9</v>
      </c>
      <c r="X158">
        <v>131.4</v>
      </c>
      <c r="Y158">
        <v>119.4</v>
      </c>
      <c r="Z158">
        <v>129.4</v>
      </c>
      <c r="AA158">
        <v>136.30000000000001</v>
      </c>
      <c r="AB158">
        <v>123.7</v>
      </c>
      <c r="AC158">
        <v>127.9</v>
      </c>
      <c r="AD158">
        <v>133.30000000000001</v>
      </c>
    </row>
    <row r="159" spans="1:30">
      <c r="A159" t="s">
        <v>33</v>
      </c>
      <c r="B159">
        <v>2017</v>
      </c>
      <c r="C159" t="s">
        <v>41</v>
      </c>
      <c r="D159">
        <v>132.6</v>
      </c>
      <c r="E159">
        <v>144.1</v>
      </c>
      <c r="F159">
        <v>125.6</v>
      </c>
      <c r="G159">
        <v>136.80000000000001</v>
      </c>
      <c r="H159">
        <v>113.4</v>
      </c>
      <c r="I159">
        <v>135.19999999999999</v>
      </c>
      <c r="J159">
        <v>129.19999999999999</v>
      </c>
      <c r="K159">
        <v>131.5</v>
      </c>
      <c r="L159">
        <v>121</v>
      </c>
      <c r="M159">
        <v>139.9</v>
      </c>
      <c r="N159">
        <v>123.8</v>
      </c>
      <c r="O159">
        <v>142.9</v>
      </c>
      <c r="P159">
        <v>133.6</v>
      </c>
      <c r="Q159">
        <v>148.30000000000001</v>
      </c>
      <c r="R159">
        <v>131.5</v>
      </c>
      <c r="S159">
        <v>123.2</v>
      </c>
      <c r="T159">
        <v>130.19999999999999</v>
      </c>
      <c r="U159" t="s">
        <v>96</v>
      </c>
      <c r="V159">
        <v>120.1</v>
      </c>
      <c r="W159">
        <v>126.5</v>
      </c>
      <c r="X159">
        <v>123.6</v>
      </c>
      <c r="Y159">
        <v>114.3</v>
      </c>
      <c r="Z159">
        <v>122.8</v>
      </c>
      <c r="AA159">
        <v>133.80000000000001</v>
      </c>
      <c r="AB159">
        <v>122</v>
      </c>
      <c r="AC159">
        <v>122.6</v>
      </c>
      <c r="AD159">
        <v>129.30000000000001</v>
      </c>
    </row>
    <row r="160" spans="1:30">
      <c r="A160" t="s">
        <v>35</v>
      </c>
      <c r="B160">
        <v>2017</v>
      </c>
      <c r="C160" t="s">
        <v>41</v>
      </c>
      <c r="D160">
        <v>132.9</v>
      </c>
      <c r="E160">
        <v>141.6</v>
      </c>
      <c r="F160">
        <v>126.3</v>
      </c>
      <c r="G160">
        <v>137.69999999999999</v>
      </c>
      <c r="H160">
        <v>118.1</v>
      </c>
      <c r="I160">
        <v>137.9</v>
      </c>
      <c r="J160">
        <v>125.6</v>
      </c>
      <c r="K160">
        <v>138.30000000000001</v>
      </c>
      <c r="L160">
        <v>119.4</v>
      </c>
      <c r="M160">
        <v>136</v>
      </c>
      <c r="N160">
        <v>127.6</v>
      </c>
      <c r="O160">
        <v>144.5</v>
      </c>
      <c r="P160">
        <v>133.69999999999999</v>
      </c>
      <c r="Q160">
        <v>146.19999999999999</v>
      </c>
      <c r="R160">
        <v>138.19999999999999</v>
      </c>
      <c r="S160">
        <v>131.4</v>
      </c>
      <c r="T160">
        <v>137.19999999999999</v>
      </c>
      <c r="U160" t="s">
        <v>96</v>
      </c>
      <c r="V160">
        <v>129.4</v>
      </c>
      <c r="W160">
        <v>130.9</v>
      </c>
      <c r="X160">
        <v>128.4</v>
      </c>
      <c r="Y160">
        <v>116.7</v>
      </c>
      <c r="Z160">
        <v>125.7</v>
      </c>
      <c r="AA160">
        <v>134.80000000000001</v>
      </c>
      <c r="AB160">
        <v>123</v>
      </c>
      <c r="AC160">
        <v>125.3</v>
      </c>
      <c r="AD160">
        <v>131.4</v>
      </c>
    </row>
    <row r="161" spans="1:30">
      <c r="A161" t="s">
        <v>30</v>
      </c>
      <c r="B161">
        <v>2017</v>
      </c>
      <c r="C161" t="s">
        <v>42</v>
      </c>
      <c r="D161">
        <v>133.5</v>
      </c>
      <c r="E161">
        <v>143.69999999999999</v>
      </c>
      <c r="F161">
        <v>128</v>
      </c>
      <c r="G161">
        <v>138.6</v>
      </c>
      <c r="H161">
        <v>120.9</v>
      </c>
      <c r="I161">
        <v>140.9</v>
      </c>
      <c r="J161">
        <v>128.80000000000001</v>
      </c>
      <c r="K161">
        <v>140.19999999999999</v>
      </c>
      <c r="L161">
        <v>118.9</v>
      </c>
      <c r="M161">
        <v>133.5</v>
      </c>
      <c r="N161">
        <v>130.4</v>
      </c>
      <c r="O161">
        <v>146.5</v>
      </c>
      <c r="P161">
        <v>134.9</v>
      </c>
      <c r="Q161">
        <v>145.80000000000001</v>
      </c>
      <c r="R161">
        <v>143.1</v>
      </c>
      <c r="S161">
        <v>137.69999999999999</v>
      </c>
      <c r="T161">
        <v>142.30000000000001</v>
      </c>
      <c r="U161" t="s">
        <v>32</v>
      </c>
      <c r="V161">
        <v>134.80000000000001</v>
      </c>
      <c r="W161">
        <v>135.19999999999999</v>
      </c>
      <c r="X161">
        <v>131.30000000000001</v>
      </c>
      <c r="Y161">
        <v>119.4</v>
      </c>
      <c r="Z161">
        <v>129.80000000000001</v>
      </c>
      <c r="AA161">
        <v>136.9</v>
      </c>
      <c r="AB161">
        <v>124.1</v>
      </c>
      <c r="AC161">
        <v>128.1</v>
      </c>
      <c r="AD161">
        <v>133.9</v>
      </c>
    </row>
    <row r="162" spans="1:30">
      <c r="A162" t="s">
        <v>33</v>
      </c>
      <c r="B162">
        <v>2017</v>
      </c>
      <c r="C162" t="s">
        <v>42</v>
      </c>
      <c r="D162">
        <v>132.9</v>
      </c>
      <c r="E162">
        <v>148.69999999999999</v>
      </c>
      <c r="F162">
        <v>128.30000000000001</v>
      </c>
      <c r="G162">
        <v>137.30000000000001</v>
      </c>
      <c r="H162">
        <v>113.5</v>
      </c>
      <c r="I162">
        <v>137.19999999999999</v>
      </c>
      <c r="J162">
        <v>142.19999999999999</v>
      </c>
      <c r="K162">
        <v>128.19999999999999</v>
      </c>
      <c r="L162">
        <v>120.9</v>
      </c>
      <c r="M162">
        <v>138.80000000000001</v>
      </c>
      <c r="N162">
        <v>124.2</v>
      </c>
      <c r="O162">
        <v>143.1</v>
      </c>
      <c r="P162">
        <v>135.69999999999999</v>
      </c>
      <c r="Q162">
        <v>148.6</v>
      </c>
      <c r="R162">
        <v>131.5</v>
      </c>
      <c r="S162">
        <v>123.2</v>
      </c>
      <c r="T162">
        <v>130.19999999999999</v>
      </c>
      <c r="U162" t="s">
        <v>97</v>
      </c>
      <c r="V162">
        <v>119</v>
      </c>
      <c r="W162">
        <v>126.8</v>
      </c>
      <c r="X162">
        <v>123.8</v>
      </c>
      <c r="Y162">
        <v>113.9</v>
      </c>
      <c r="Z162">
        <v>122.9</v>
      </c>
      <c r="AA162">
        <v>134.30000000000001</v>
      </c>
      <c r="AB162">
        <v>122.5</v>
      </c>
      <c r="AC162">
        <v>122.7</v>
      </c>
      <c r="AD162">
        <v>129.9</v>
      </c>
    </row>
    <row r="163" spans="1:30">
      <c r="A163" t="s">
        <v>35</v>
      </c>
      <c r="B163">
        <v>2017</v>
      </c>
      <c r="C163" t="s">
        <v>42</v>
      </c>
      <c r="D163">
        <v>133.30000000000001</v>
      </c>
      <c r="E163">
        <v>145.5</v>
      </c>
      <c r="F163">
        <v>128.1</v>
      </c>
      <c r="G163">
        <v>138.1</v>
      </c>
      <c r="H163">
        <v>118.2</v>
      </c>
      <c r="I163">
        <v>139.19999999999999</v>
      </c>
      <c r="J163">
        <v>133.30000000000001</v>
      </c>
      <c r="K163">
        <v>136.19999999999999</v>
      </c>
      <c r="L163">
        <v>119.6</v>
      </c>
      <c r="M163">
        <v>135.30000000000001</v>
      </c>
      <c r="N163">
        <v>127.8</v>
      </c>
      <c r="O163">
        <v>144.9</v>
      </c>
      <c r="P163">
        <v>135.19999999999999</v>
      </c>
      <c r="Q163">
        <v>146.5</v>
      </c>
      <c r="R163">
        <v>138.5</v>
      </c>
      <c r="S163">
        <v>131.69999999999999</v>
      </c>
      <c r="T163">
        <v>137.5</v>
      </c>
      <c r="U163" t="s">
        <v>97</v>
      </c>
      <c r="V163">
        <v>128.80000000000001</v>
      </c>
      <c r="W163">
        <v>131.19999999999999</v>
      </c>
      <c r="X163">
        <v>128.5</v>
      </c>
      <c r="Y163">
        <v>116.5</v>
      </c>
      <c r="Z163">
        <v>125.9</v>
      </c>
      <c r="AA163">
        <v>135.4</v>
      </c>
      <c r="AB163">
        <v>123.4</v>
      </c>
      <c r="AC163">
        <v>125.5</v>
      </c>
      <c r="AD163">
        <v>132</v>
      </c>
    </row>
    <row r="164" spans="1:30">
      <c r="A164" t="s">
        <v>30</v>
      </c>
      <c r="B164">
        <v>2017</v>
      </c>
      <c r="C164" t="s">
        <v>44</v>
      </c>
      <c r="D164">
        <v>134</v>
      </c>
      <c r="E164">
        <v>144.19999999999999</v>
      </c>
      <c r="F164">
        <v>129.80000000000001</v>
      </c>
      <c r="G164">
        <v>139</v>
      </c>
      <c r="H164">
        <v>120.9</v>
      </c>
      <c r="I164">
        <v>143.9</v>
      </c>
      <c r="J164">
        <v>151.5</v>
      </c>
      <c r="K164">
        <v>138.1</v>
      </c>
      <c r="L164">
        <v>120</v>
      </c>
      <c r="M164">
        <v>133.9</v>
      </c>
      <c r="N164">
        <v>131.4</v>
      </c>
      <c r="O164">
        <v>147.69999999999999</v>
      </c>
      <c r="P164">
        <v>138.5</v>
      </c>
      <c r="Q164">
        <v>147.4</v>
      </c>
      <c r="R164">
        <v>144.30000000000001</v>
      </c>
      <c r="S164">
        <v>138.1</v>
      </c>
      <c r="T164">
        <v>143.5</v>
      </c>
      <c r="U164" t="s">
        <v>32</v>
      </c>
      <c r="V164">
        <v>135.30000000000001</v>
      </c>
      <c r="W164">
        <v>136.1</v>
      </c>
      <c r="X164">
        <v>132.1</v>
      </c>
      <c r="Y164">
        <v>119.1</v>
      </c>
      <c r="Z164">
        <v>130.6</v>
      </c>
      <c r="AA164">
        <v>138.6</v>
      </c>
      <c r="AB164">
        <v>124.4</v>
      </c>
      <c r="AC164">
        <v>128.6</v>
      </c>
      <c r="AD164">
        <v>136.19999999999999</v>
      </c>
    </row>
    <row r="165" spans="1:30">
      <c r="A165" t="s">
        <v>33</v>
      </c>
      <c r="B165">
        <v>2017</v>
      </c>
      <c r="C165" t="s">
        <v>44</v>
      </c>
      <c r="D165">
        <v>132.80000000000001</v>
      </c>
      <c r="E165">
        <v>148.4</v>
      </c>
      <c r="F165">
        <v>129.4</v>
      </c>
      <c r="G165">
        <v>137.69999999999999</v>
      </c>
      <c r="H165">
        <v>113.4</v>
      </c>
      <c r="I165">
        <v>139.4</v>
      </c>
      <c r="J165">
        <v>175.1</v>
      </c>
      <c r="K165">
        <v>124.7</v>
      </c>
      <c r="L165">
        <v>121.5</v>
      </c>
      <c r="M165">
        <v>137.80000000000001</v>
      </c>
      <c r="N165">
        <v>124.4</v>
      </c>
      <c r="O165">
        <v>143.69999999999999</v>
      </c>
      <c r="P165">
        <v>139.80000000000001</v>
      </c>
      <c r="Q165">
        <v>150.5</v>
      </c>
      <c r="R165">
        <v>131.6</v>
      </c>
      <c r="S165">
        <v>123.7</v>
      </c>
      <c r="T165">
        <v>130.4</v>
      </c>
      <c r="U165" t="s">
        <v>98</v>
      </c>
      <c r="V165">
        <v>119.7</v>
      </c>
      <c r="W165">
        <v>127.2</v>
      </c>
      <c r="X165">
        <v>125</v>
      </c>
      <c r="Y165">
        <v>113.2</v>
      </c>
      <c r="Z165">
        <v>123.5</v>
      </c>
      <c r="AA165">
        <v>135.5</v>
      </c>
      <c r="AB165">
        <v>122.4</v>
      </c>
      <c r="AC165">
        <v>123</v>
      </c>
      <c r="AD165">
        <v>131.80000000000001</v>
      </c>
    </row>
    <row r="166" spans="1:30">
      <c r="A166" t="s">
        <v>35</v>
      </c>
      <c r="B166">
        <v>2017</v>
      </c>
      <c r="C166" t="s">
        <v>44</v>
      </c>
      <c r="D166">
        <v>133.6</v>
      </c>
      <c r="E166">
        <v>145.69999999999999</v>
      </c>
      <c r="F166">
        <v>129.6</v>
      </c>
      <c r="G166">
        <v>138.5</v>
      </c>
      <c r="H166">
        <v>118.1</v>
      </c>
      <c r="I166">
        <v>141.80000000000001</v>
      </c>
      <c r="J166">
        <v>159.5</v>
      </c>
      <c r="K166">
        <v>133.6</v>
      </c>
      <c r="L166">
        <v>120.5</v>
      </c>
      <c r="M166">
        <v>135.19999999999999</v>
      </c>
      <c r="N166">
        <v>128.5</v>
      </c>
      <c r="O166">
        <v>145.80000000000001</v>
      </c>
      <c r="P166">
        <v>139</v>
      </c>
      <c r="Q166">
        <v>148.19999999999999</v>
      </c>
      <c r="R166">
        <v>139.30000000000001</v>
      </c>
      <c r="S166">
        <v>132.1</v>
      </c>
      <c r="T166">
        <v>138.30000000000001</v>
      </c>
      <c r="U166" t="s">
        <v>98</v>
      </c>
      <c r="V166">
        <v>129.4</v>
      </c>
      <c r="W166">
        <v>131.9</v>
      </c>
      <c r="X166">
        <v>129.4</v>
      </c>
      <c r="Y166">
        <v>116</v>
      </c>
      <c r="Z166">
        <v>126.6</v>
      </c>
      <c r="AA166">
        <v>136.80000000000001</v>
      </c>
      <c r="AB166">
        <v>123.6</v>
      </c>
      <c r="AC166">
        <v>125.9</v>
      </c>
      <c r="AD166">
        <v>134.19999999999999</v>
      </c>
    </row>
    <row r="167" spans="1:30">
      <c r="A167" t="s">
        <v>30</v>
      </c>
      <c r="B167">
        <v>2017</v>
      </c>
      <c r="C167" t="s">
        <v>46</v>
      </c>
      <c r="D167">
        <v>134.80000000000001</v>
      </c>
      <c r="E167">
        <v>143.1</v>
      </c>
      <c r="F167">
        <v>130</v>
      </c>
      <c r="G167">
        <v>139.4</v>
      </c>
      <c r="H167">
        <v>120.5</v>
      </c>
      <c r="I167">
        <v>148</v>
      </c>
      <c r="J167">
        <v>162.9</v>
      </c>
      <c r="K167">
        <v>137.4</v>
      </c>
      <c r="L167">
        <v>120.8</v>
      </c>
      <c r="M167">
        <v>134.69999999999999</v>
      </c>
      <c r="N167">
        <v>131.6</v>
      </c>
      <c r="O167">
        <v>148.69999999999999</v>
      </c>
      <c r="P167">
        <v>140.6</v>
      </c>
      <c r="Q167">
        <v>149</v>
      </c>
      <c r="R167">
        <v>145.30000000000001</v>
      </c>
      <c r="S167">
        <v>139.19999999999999</v>
      </c>
      <c r="T167">
        <v>144.5</v>
      </c>
      <c r="U167" t="s">
        <v>32</v>
      </c>
      <c r="V167">
        <v>136.4</v>
      </c>
      <c r="W167">
        <v>137.30000000000001</v>
      </c>
      <c r="X167">
        <v>133</v>
      </c>
      <c r="Y167">
        <v>120.3</v>
      </c>
      <c r="Z167">
        <v>131.5</v>
      </c>
      <c r="AA167">
        <v>140.19999999999999</v>
      </c>
      <c r="AB167">
        <v>125.4</v>
      </c>
      <c r="AC167">
        <v>129.69999999999999</v>
      </c>
      <c r="AD167">
        <v>137.80000000000001</v>
      </c>
    </row>
    <row r="168" spans="1:30">
      <c r="A168" t="s">
        <v>33</v>
      </c>
      <c r="B168">
        <v>2017</v>
      </c>
      <c r="C168" t="s">
        <v>46</v>
      </c>
      <c r="D168">
        <v>133.19999999999999</v>
      </c>
      <c r="E168">
        <v>143.9</v>
      </c>
      <c r="F168">
        <v>128.30000000000001</v>
      </c>
      <c r="G168">
        <v>138.30000000000001</v>
      </c>
      <c r="H168">
        <v>114.1</v>
      </c>
      <c r="I168">
        <v>142.69999999999999</v>
      </c>
      <c r="J168">
        <v>179.8</v>
      </c>
      <c r="K168">
        <v>123.5</v>
      </c>
      <c r="L168">
        <v>122.1</v>
      </c>
      <c r="M168">
        <v>137.5</v>
      </c>
      <c r="N168">
        <v>124.6</v>
      </c>
      <c r="O168">
        <v>144.5</v>
      </c>
      <c r="P168">
        <v>140.5</v>
      </c>
      <c r="Q168">
        <v>152.1</v>
      </c>
      <c r="R168">
        <v>132.69999999999999</v>
      </c>
      <c r="S168">
        <v>124.3</v>
      </c>
      <c r="T168">
        <v>131.4</v>
      </c>
      <c r="U168" t="s">
        <v>99</v>
      </c>
      <c r="V168">
        <v>118.9</v>
      </c>
      <c r="W168">
        <v>127.7</v>
      </c>
      <c r="X168">
        <v>125.7</v>
      </c>
      <c r="Y168">
        <v>114.6</v>
      </c>
      <c r="Z168">
        <v>124.1</v>
      </c>
      <c r="AA168">
        <v>135.69999999999999</v>
      </c>
      <c r="AB168">
        <v>123.3</v>
      </c>
      <c r="AC168">
        <v>123.8</v>
      </c>
      <c r="AD168">
        <v>132.69999999999999</v>
      </c>
    </row>
    <row r="169" spans="1:30">
      <c r="A169" t="s">
        <v>35</v>
      </c>
      <c r="B169">
        <v>2017</v>
      </c>
      <c r="C169" t="s">
        <v>46</v>
      </c>
      <c r="D169">
        <v>134.30000000000001</v>
      </c>
      <c r="E169">
        <v>143.4</v>
      </c>
      <c r="F169">
        <v>129.30000000000001</v>
      </c>
      <c r="G169">
        <v>139</v>
      </c>
      <c r="H169">
        <v>118.1</v>
      </c>
      <c r="I169">
        <v>145.5</v>
      </c>
      <c r="J169">
        <v>168.6</v>
      </c>
      <c r="K169">
        <v>132.69999999999999</v>
      </c>
      <c r="L169">
        <v>121.2</v>
      </c>
      <c r="M169">
        <v>135.6</v>
      </c>
      <c r="N169">
        <v>128.69999999999999</v>
      </c>
      <c r="O169">
        <v>146.80000000000001</v>
      </c>
      <c r="P169">
        <v>140.6</v>
      </c>
      <c r="Q169">
        <v>149.80000000000001</v>
      </c>
      <c r="R169">
        <v>140.30000000000001</v>
      </c>
      <c r="S169">
        <v>133</v>
      </c>
      <c r="T169">
        <v>139.30000000000001</v>
      </c>
      <c r="U169" t="s">
        <v>99</v>
      </c>
      <c r="V169">
        <v>129.80000000000001</v>
      </c>
      <c r="W169">
        <v>132.80000000000001</v>
      </c>
      <c r="X169">
        <v>130.19999999999999</v>
      </c>
      <c r="Y169">
        <v>117.3</v>
      </c>
      <c r="Z169">
        <v>127.3</v>
      </c>
      <c r="AA169">
        <v>137.6</v>
      </c>
      <c r="AB169">
        <v>124.5</v>
      </c>
      <c r="AC169">
        <v>126.8</v>
      </c>
      <c r="AD169">
        <v>135.4</v>
      </c>
    </row>
    <row r="170" spans="1:30">
      <c r="A170" t="s">
        <v>30</v>
      </c>
      <c r="B170">
        <v>2017</v>
      </c>
      <c r="C170" t="s">
        <v>48</v>
      </c>
      <c r="D170">
        <v>135.19999999999999</v>
      </c>
      <c r="E170">
        <v>142</v>
      </c>
      <c r="F170">
        <v>130.5</v>
      </c>
      <c r="G170">
        <v>140.19999999999999</v>
      </c>
      <c r="H170">
        <v>120.7</v>
      </c>
      <c r="I170">
        <v>147.80000000000001</v>
      </c>
      <c r="J170">
        <v>154.5</v>
      </c>
      <c r="K170">
        <v>137.1</v>
      </c>
      <c r="L170">
        <v>121</v>
      </c>
      <c r="M170">
        <v>134.69999999999999</v>
      </c>
      <c r="N170">
        <v>131.69999999999999</v>
      </c>
      <c r="O170">
        <v>149.30000000000001</v>
      </c>
      <c r="P170">
        <v>139.6</v>
      </c>
      <c r="Q170">
        <v>149.80000000000001</v>
      </c>
      <c r="R170">
        <v>146.1</v>
      </c>
      <c r="S170">
        <v>139.69999999999999</v>
      </c>
      <c r="T170">
        <v>145.19999999999999</v>
      </c>
      <c r="U170" t="s">
        <v>32</v>
      </c>
      <c r="V170">
        <v>137.4</v>
      </c>
      <c r="W170">
        <v>137.9</v>
      </c>
      <c r="X170">
        <v>133.4</v>
      </c>
      <c r="Y170">
        <v>121.2</v>
      </c>
      <c r="Z170">
        <v>132.30000000000001</v>
      </c>
      <c r="AA170">
        <v>139.6</v>
      </c>
      <c r="AB170">
        <v>126.7</v>
      </c>
      <c r="AC170">
        <v>130.30000000000001</v>
      </c>
      <c r="AD170">
        <v>137.6</v>
      </c>
    </row>
    <row r="171" spans="1:30">
      <c r="A171" t="s">
        <v>33</v>
      </c>
      <c r="B171">
        <v>2017</v>
      </c>
      <c r="C171" t="s">
        <v>48</v>
      </c>
      <c r="D171">
        <v>133.6</v>
      </c>
      <c r="E171">
        <v>143</v>
      </c>
      <c r="F171">
        <v>129.69999999999999</v>
      </c>
      <c r="G171">
        <v>138.69999999999999</v>
      </c>
      <c r="H171">
        <v>114.5</v>
      </c>
      <c r="I171">
        <v>137.5</v>
      </c>
      <c r="J171">
        <v>160.69999999999999</v>
      </c>
      <c r="K171">
        <v>124.5</v>
      </c>
      <c r="L171">
        <v>122.4</v>
      </c>
      <c r="M171">
        <v>137.30000000000001</v>
      </c>
      <c r="N171">
        <v>124.8</v>
      </c>
      <c r="O171">
        <v>145</v>
      </c>
      <c r="P171">
        <v>138</v>
      </c>
      <c r="Q171">
        <v>153.6</v>
      </c>
      <c r="R171">
        <v>133.30000000000001</v>
      </c>
      <c r="S171">
        <v>124.6</v>
      </c>
      <c r="T171">
        <v>132</v>
      </c>
      <c r="U171" t="s">
        <v>100</v>
      </c>
      <c r="V171">
        <v>120.6</v>
      </c>
      <c r="W171">
        <v>128.1</v>
      </c>
      <c r="X171">
        <v>126.1</v>
      </c>
      <c r="Y171">
        <v>115.7</v>
      </c>
      <c r="Z171">
        <v>124.5</v>
      </c>
      <c r="AA171">
        <v>135.9</v>
      </c>
      <c r="AB171">
        <v>124.4</v>
      </c>
      <c r="AC171">
        <v>124.5</v>
      </c>
      <c r="AD171">
        <v>132.4</v>
      </c>
    </row>
    <row r="172" spans="1:30">
      <c r="A172" t="s">
        <v>35</v>
      </c>
      <c r="B172">
        <v>2017</v>
      </c>
      <c r="C172" t="s">
        <v>48</v>
      </c>
      <c r="D172">
        <v>134.69999999999999</v>
      </c>
      <c r="E172">
        <v>142.4</v>
      </c>
      <c r="F172">
        <v>130.19999999999999</v>
      </c>
      <c r="G172">
        <v>139.6</v>
      </c>
      <c r="H172">
        <v>118.4</v>
      </c>
      <c r="I172">
        <v>143</v>
      </c>
      <c r="J172">
        <v>156.6</v>
      </c>
      <c r="K172">
        <v>132.9</v>
      </c>
      <c r="L172">
        <v>121.5</v>
      </c>
      <c r="M172">
        <v>135.6</v>
      </c>
      <c r="N172">
        <v>128.80000000000001</v>
      </c>
      <c r="O172">
        <v>147.30000000000001</v>
      </c>
      <c r="P172">
        <v>139</v>
      </c>
      <c r="Q172">
        <v>150.80000000000001</v>
      </c>
      <c r="R172">
        <v>141.1</v>
      </c>
      <c r="S172">
        <v>133.4</v>
      </c>
      <c r="T172">
        <v>140</v>
      </c>
      <c r="U172" t="s">
        <v>100</v>
      </c>
      <c r="V172">
        <v>131</v>
      </c>
      <c r="W172">
        <v>133.30000000000001</v>
      </c>
      <c r="X172">
        <v>130.6</v>
      </c>
      <c r="Y172">
        <v>118.3</v>
      </c>
      <c r="Z172">
        <v>127.9</v>
      </c>
      <c r="AA172">
        <v>137.4</v>
      </c>
      <c r="AB172">
        <v>125.7</v>
      </c>
      <c r="AC172">
        <v>127.5</v>
      </c>
      <c r="AD172">
        <v>135.19999999999999</v>
      </c>
    </row>
    <row r="173" spans="1:30">
      <c r="A173" t="s">
        <v>30</v>
      </c>
      <c r="B173">
        <v>2017</v>
      </c>
      <c r="C173" t="s">
        <v>50</v>
      </c>
      <c r="D173">
        <v>135.9</v>
      </c>
      <c r="E173">
        <v>141.9</v>
      </c>
      <c r="F173">
        <v>131</v>
      </c>
      <c r="G173">
        <v>141.5</v>
      </c>
      <c r="H173">
        <v>121.4</v>
      </c>
      <c r="I173">
        <v>146.69999999999999</v>
      </c>
      <c r="J173">
        <v>157.1</v>
      </c>
      <c r="K173">
        <v>136.4</v>
      </c>
      <c r="L173">
        <v>121.4</v>
      </c>
      <c r="M173">
        <v>135.6</v>
      </c>
      <c r="N173">
        <v>131.30000000000001</v>
      </c>
      <c r="O173">
        <v>150.30000000000001</v>
      </c>
      <c r="P173">
        <v>140.4</v>
      </c>
      <c r="Q173">
        <v>150.5</v>
      </c>
      <c r="R173">
        <v>147.19999999999999</v>
      </c>
      <c r="S173">
        <v>140.6</v>
      </c>
      <c r="T173">
        <v>146.19999999999999</v>
      </c>
      <c r="U173" t="s">
        <v>32</v>
      </c>
      <c r="V173">
        <v>138.1</v>
      </c>
      <c r="W173">
        <v>138.4</v>
      </c>
      <c r="X173">
        <v>134.19999999999999</v>
      </c>
      <c r="Y173">
        <v>121</v>
      </c>
      <c r="Z173">
        <v>133</v>
      </c>
      <c r="AA173">
        <v>140.1</v>
      </c>
      <c r="AB173">
        <v>127.4</v>
      </c>
      <c r="AC173">
        <v>130.69999999999999</v>
      </c>
      <c r="AD173">
        <v>138.30000000000001</v>
      </c>
    </row>
    <row r="174" spans="1:30">
      <c r="A174" t="s">
        <v>33</v>
      </c>
      <c r="B174">
        <v>2017</v>
      </c>
      <c r="C174" t="s">
        <v>50</v>
      </c>
      <c r="D174">
        <v>133.9</v>
      </c>
      <c r="E174">
        <v>142.80000000000001</v>
      </c>
      <c r="F174">
        <v>131.4</v>
      </c>
      <c r="G174">
        <v>139.1</v>
      </c>
      <c r="H174">
        <v>114.9</v>
      </c>
      <c r="I174">
        <v>135.6</v>
      </c>
      <c r="J174">
        <v>173.2</v>
      </c>
      <c r="K174">
        <v>124.1</v>
      </c>
      <c r="L174">
        <v>122.6</v>
      </c>
      <c r="M174">
        <v>137.80000000000001</v>
      </c>
      <c r="N174">
        <v>125.1</v>
      </c>
      <c r="O174">
        <v>145.5</v>
      </c>
      <c r="P174">
        <v>139.69999999999999</v>
      </c>
      <c r="Q174">
        <v>154.6</v>
      </c>
      <c r="R174">
        <v>134</v>
      </c>
      <c r="S174">
        <v>124.9</v>
      </c>
      <c r="T174">
        <v>132.6</v>
      </c>
      <c r="U174" t="s">
        <v>101</v>
      </c>
      <c r="V174">
        <v>122.6</v>
      </c>
      <c r="W174">
        <v>128.30000000000001</v>
      </c>
      <c r="X174">
        <v>126.6</v>
      </c>
      <c r="Y174">
        <v>115</v>
      </c>
      <c r="Z174">
        <v>124.8</v>
      </c>
      <c r="AA174">
        <v>136.30000000000001</v>
      </c>
      <c r="AB174">
        <v>124.6</v>
      </c>
      <c r="AC174">
        <v>124.5</v>
      </c>
      <c r="AD174">
        <v>133.5</v>
      </c>
    </row>
    <row r="175" spans="1:30">
      <c r="A175" t="s">
        <v>35</v>
      </c>
      <c r="B175">
        <v>2017</v>
      </c>
      <c r="C175" t="s">
        <v>50</v>
      </c>
      <c r="D175">
        <v>135.30000000000001</v>
      </c>
      <c r="E175">
        <v>142.19999999999999</v>
      </c>
      <c r="F175">
        <v>131.19999999999999</v>
      </c>
      <c r="G175">
        <v>140.6</v>
      </c>
      <c r="H175">
        <v>119</v>
      </c>
      <c r="I175">
        <v>141.5</v>
      </c>
      <c r="J175">
        <v>162.6</v>
      </c>
      <c r="K175">
        <v>132.30000000000001</v>
      </c>
      <c r="L175">
        <v>121.8</v>
      </c>
      <c r="M175">
        <v>136.30000000000001</v>
      </c>
      <c r="N175">
        <v>128.69999999999999</v>
      </c>
      <c r="O175">
        <v>148.1</v>
      </c>
      <c r="P175">
        <v>140.1</v>
      </c>
      <c r="Q175">
        <v>151.6</v>
      </c>
      <c r="R175">
        <v>142</v>
      </c>
      <c r="S175">
        <v>134.1</v>
      </c>
      <c r="T175">
        <v>140.80000000000001</v>
      </c>
      <c r="U175" t="s">
        <v>101</v>
      </c>
      <c r="V175">
        <v>132.19999999999999</v>
      </c>
      <c r="W175">
        <v>133.6</v>
      </c>
      <c r="X175">
        <v>131.30000000000001</v>
      </c>
      <c r="Y175">
        <v>117.8</v>
      </c>
      <c r="Z175">
        <v>128.4</v>
      </c>
      <c r="AA175">
        <v>137.9</v>
      </c>
      <c r="AB175">
        <v>126.2</v>
      </c>
      <c r="AC175">
        <v>127.7</v>
      </c>
      <c r="AD175">
        <v>136.1</v>
      </c>
    </row>
    <row r="176" spans="1:30">
      <c r="A176" t="s">
        <v>30</v>
      </c>
      <c r="B176">
        <v>2017</v>
      </c>
      <c r="C176" t="s">
        <v>53</v>
      </c>
      <c r="D176">
        <v>136.30000000000001</v>
      </c>
      <c r="E176">
        <v>142.5</v>
      </c>
      <c r="F176">
        <v>140.5</v>
      </c>
      <c r="G176">
        <v>141.5</v>
      </c>
      <c r="H176">
        <v>121.6</v>
      </c>
      <c r="I176">
        <v>147.30000000000001</v>
      </c>
      <c r="J176">
        <v>168</v>
      </c>
      <c r="K176">
        <v>135.80000000000001</v>
      </c>
      <c r="L176">
        <v>122.5</v>
      </c>
      <c r="M176">
        <v>136</v>
      </c>
      <c r="N176">
        <v>131.9</v>
      </c>
      <c r="O176">
        <v>151.4</v>
      </c>
      <c r="P176">
        <v>142.4</v>
      </c>
      <c r="Q176">
        <v>152.1</v>
      </c>
      <c r="R176">
        <v>148.19999999999999</v>
      </c>
      <c r="S176">
        <v>141.5</v>
      </c>
      <c r="T176">
        <v>147.30000000000001</v>
      </c>
      <c r="U176" t="s">
        <v>32</v>
      </c>
      <c r="V176">
        <v>141.1</v>
      </c>
      <c r="W176">
        <v>139.4</v>
      </c>
      <c r="X176">
        <v>135.80000000000001</v>
      </c>
      <c r="Y176">
        <v>121.6</v>
      </c>
      <c r="Z176">
        <v>133.69999999999999</v>
      </c>
      <c r="AA176">
        <v>141.5</v>
      </c>
      <c r="AB176">
        <v>128.1</v>
      </c>
      <c r="AC176">
        <v>131.69999999999999</v>
      </c>
      <c r="AD176">
        <v>140</v>
      </c>
    </row>
    <row r="177" spans="1:30">
      <c r="A177" t="s">
        <v>33</v>
      </c>
      <c r="B177">
        <v>2017</v>
      </c>
      <c r="C177" t="s">
        <v>53</v>
      </c>
      <c r="D177">
        <v>134.30000000000001</v>
      </c>
      <c r="E177">
        <v>142.1</v>
      </c>
      <c r="F177">
        <v>146.69999999999999</v>
      </c>
      <c r="G177">
        <v>139.5</v>
      </c>
      <c r="H177">
        <v>115.2</v>
      </c>
      <c r="I177">
        <v>136.4</v>
      </c>
      <c r="J177">
        <v>185.2</v>
      </c>
      <c r="K177">
        <v>122.2</v>
      </c>
      <c r="L177">
        <v>123.9</v>
      </c>
      <c r="M177">
        <v>138.30000000000001</v>
      </c>
      <c r="N177">
        <v>125.4</v>
      </c>
      <c r="O177">
        <v>146</v>
      </c>
      <c r="P177">
        <v>141.5</v>
      </c>
      <c r="Q177">
        <v>156.19999999999999</v>
      </c>
      <c r="R177">
        <v>135</v>
      </c>
      <c r="S177">
        <v>125.4</v>
      </c>
      <c r="T177">
        <v>133.5</v>
      </c>
      <c r="U177" t="s">
        <v>102</v>
      </c>
      <c r="V177">
        <v>125.7</v>
      </c>
      <c r="W177">
        <v>128.80000000000001</v>
      </c>
      <c r="X177">
        <v>127.4</v>
      </c>
      <c r="Y177">
        <v>115.3</v>
      </c>
      <c r="Z177">
        <v>125.1</v>
      </c>
      <c r="AA177">
        <v>136.6</v>
      </c>
      <c r="AB177">
        <v>124.9</v>
      </c>
      <c r="AC177">
        <v>124.9</v>
      </c>
      <c r="AD177">
        <v>134.80000000000001</v>
      </c>
    </row>
    <row r="178" spans="1:30">
      <c r="A178" t="s">
        <v>35</v>
      </c>
      <c r="B178">
        <v>2017</v>
      </c>
      <c r="C178" t="s">
        <v>53</v>
      </c>
      <c r="D178">
        <v>135.69999999999999</v>
      </c>
      <c r="E178">
        <v>142.4</v>
      </c>
      <c r="F178">
        <v>142.9</v>
      </c>
      <c r="G178">
        <v>140.80000000000001</v>
      </c>
      <c r="H178">
        <v>119.2</v>
      </c>
      <c r="I178">
        <v>142.19999999999999</v>
      </c>
      <c r="J178">
        <v>173.8</v>
      </c>
      <c r="K178">
        <v>131.19999999999999</v>
      </c>
      <c r="L178">
        <v>123</v>
      </c>
      <c r="M178">
        <v>136.80000000000001</v>
      </c>
      <c r="N178">
        <v>129.19999999999999</v>
      </c>
      <c r="O178">
        <v>148.9</v>
      </c>
      <c r="P178">
        <v>142.1</v>
      </c>
      <c r="Q178">
        <v>153.19999999999999</v>
      </c>
      <c r="R178">
        <v>143</v>
      </c>
      <c r="S178">
        <v>134.80000000000001</v>
      </c>
      <c r="T178">
        <v>141.80000000000001</v>
      </c>
      <c r="U178" t="s">
        <v>102</v>
      </c>
      <c r="V178">
        <v>135.30000000000001</v>
      </c>
      <c r="W178">
        <v>134.4</v>
      </c>
      <c r="X178">
        <v>132.6</v>
      </c>
      <c r="Y178">
        <v>118.3</v>
      </c>
      <c r="Z178">
        <v>128.9</v>
      </c>
      <c r="AA178">
        <v>138.6</v>
      </c>
      <c r="AB178">
        <v>126.8</v>
      </c>
      <c r="AC178">
        <v>128.4</v>
      </c>
      <c r="AD178">
        <v>137.6</v>
      </c>
    </row>
    <row r="179" spans="1:30">
      <c r="A179" t="s">
        <v>30</v>
      </c>
      <c r="B179">
        <v>2017</v>
      </c>
      <c r="C179" t="s">
        <v>55</v>
      </c>
      <c r="D179">
        <v>136.4</v>
      </c>
      <c r="E179">
        <v>143.69999999999999</v>
      </c>
      <c r="F179">
        <v>144.80000000000001</v>
      </c>
      <c r="G179">
        <v>141.9</v>
      </c>
      <c r="H179">
        <v>123.1</v>
      </c>
      <c r="I179">
        <v>147.19999999999999</v>
      </c>
      <c r="J179">
        <v>161</v>
      </c>
      <c r="K179">
        <v>133.80000000000001</v>
      </c>
      <c r="L179">
        <v>121.9</v>
      </c>
      <c r="M179">
        <v>135.80000000000001</v>
      </c>
      <c r="N179">
        <v>131.1</v>
      </c>
      <c r="O179">
        <v>151.4</v>
      </c>
      <c r="P179">
        <v>141.5</v>
      </c>
      <c r="Q179">
        <v>153.19999999999999</v>
      </c>
      <c r="R179">
        <v>148</v>
      </c>
      <c r="S179">
        <v>141.9</v>
      </c>
      <c r="T179">
        <v>147.19999999999999</v>
      </c>
      <c r="U179" t="s">
        <v>32</v>
      </c>
      <c r="V179">
        <v>142.6</v>
      </c>
      <c r="W179">
        <v>139.5</v>
      </c>
      <c r="X179">
        <v>136.1</v>
      </c>
      <c r="Y179">
        <v>122</v>
      </c>
      <c r="Z179">
        <v>133.4</v>
      </c>
      <c r="AA179">
        <v>141.1</v>
      </c>
      <c r="AB179">
        <v>127.8</v>
      </c>
      <c r="AC179">
        <v>131.9</v>
      </c>
      <c r="AD179">
        <v>139.80000000000001</v>
      </c>
    </row>
    <row r="180" spans="1:30">
      <c r="A180" t="s">
        <v>33</v>
      </c>
      <c r="B180">
        <v>2017</v>
      </c>
      <c r="C180" t="s">
        <v>55</v>
      </c>
      <c r="D180">
        <v>134.4</v>
      </c>
      <c r="E180">
        <v>142.6</v>
      </c>
      <c r="F180">
        <v>145.9</v>
      </c>
      <c r="G180">
        <v>139.5</v>
      </c>
      <c r="H180">
        <v>115.9</v>
      </c>
      <c r="I180">
        <v>135</v>
      </c>
      <c r="J180">
        <v>163.19999999999999</v>
      </c>
      <c r="K180">
        <v>119.8</v>
      </c>
      <c r="L180">
        <v>120.7</v>
      </c>
      <c r="M180">
        <v>139.69999999999999</v>
      </c>
      <c r="N180">
        <v>125.7</v>
      </c>
      <c r="O180">
        <v>146.30000000000001</v>
      </c>
      <c r="P180">
        <v>138.80000000000001</v>
      </c>
      <c r="Q180">
        <v>157</v>
      </c>
      <c r="R180">
        <v>135.6</v>
      </c>
      <c r="S180">
        <v>125.6</v>
      </c>
      <c r="T180">
        <v>134</v>
      </c>
      <c r="U180" t="s">
        <v>103</v>
      </c>
      <c r="V180">
        <v>126.8</v>
      </c>
      <c r="W180">
        <v>129.30000000000001</v>
      </c>
      <c r="X180">
        <v>128.19999999999999</v>
      </c>
      <c r="Y180">
        <v>115.3</v>
      </c>
      <c r="Z180">
        <v>125.6</v>
      </c>
      <c r="AA180">
        <v>136.69999999999999</v>
      </c>
      <c r="AB180">
        <v>124.6</v>
      </c>
      <c r="AC180">
        <v>125.1</v>
      </c>
      <c r="AD180">
        <v>134.1</v>
      </c>
    </row>
    <row r="181" spans="1:30">
      <c r="A181" t="s">
        <v>35</v>
      </c>
      <c r="B181">
        <v>2017</v>
      </c>
      <c r="C181" t="s">
        <v>55</v>
      </c>
      <c r="D181">
        <v>135.80000000000001</v>
      </c>
      <c r="E181">
        <v>143.30000000000001</v>
      </c>
      <c r="F181">
        <v>145.19999999999999</v>
      </c>
      <c r="G181">
        <v>141</v>
      </c>
      <c r="H181">
        <v>120.5</v>
      </c>
      <c r="I181">
        <v>141.5</v>
      </c>
      <c r="J181">
        <v>161.69999999999999</v>
      </c>
      <c r="K181">
        <v>129.1</v>
      </c>
      <c r="L181">
        <v>121.5</v>
      </c>
      <c r="M181">
        <v>137.1</v>
      </c>
      <c r="N181">
        <v>128.80000000000001</v>
      </c>
      <c r="O181">
        <v>149</v>
      </c>
      <c r="P181">
        <v>140.5</v>
      </c>
      <c r="Q181">
        <v>154.19999999999999</v>
      </c>
      <c r="R181">
        <v>143.1</v>
      </c>
      <c r="S181">
        <v>135.1</v>
      </c>
      <c r="T181">
        <v>142</v>
      </c>
      <c r="U181" t="s">
        <v>103</v>
      </c>
      <c r="V181">
        <v>136.6</v>
      </c>
      <c r="W181">
        <v>134.69999999999999</v>
      </c>
      <c r="X181">
        <v>133.1</v>
      </c>
      <c r="Y181">
        <v>118.5</v>
      </c>
      <c r="Z181">
        <v>129</v>
      </c>
      <c r="AA181">
        <v>138.5</v>
      </c>
      <c r="AB181">
        <v>126.5</v>
      </c>
      <c r="AC181">
        <v>128.6</v>
      </c>
      <c r="AD181">
        <v>137.19999999999999</v>
      </c>
    </row>
    <row r="182" spans="1:30">
      <c r="A182" t="s">
        <v>30</v>
      </c>
      <c r="B182">
        <v>2018</v>
      </c>
      <c r="C182" t="s">
        <v>31</v>
      </c>
      <c r="D182">
        <v>136.6</v>
      </c>
      <c r="E182">
        <v>144.4</v>
      </c>
      <c r="F182">
        <v>143.80000000000001</v>
      </c>
      <c r="G182">
        <v>142</v>
      </c>
      <c r="H182">
        <v>123.2</v>
      </c>
      <c r="I182">
        <v>147.9</v>
      </c>
      <c r="J182">
        <v>152.1</v>
      </c>
      <c r="K182">
        <v>131.80000000000001</v>
      </c>
      <c r="L182">
        <v>119.5</v>
      </c>
      <c r="M182">
        <v>136</v>
      </c>
      <c r="N182">
        <v>131.19999999999999</v>
      </c>
      <c r="O182">
        <v>151.80000000000001</v>
      </c>
      <c r="P182">
        <v>140.4</v>
      </c>
      <c r="Q182">
        <v>153.6</v>
      </c>
      <c r="R182">
        <v>148.30000000000001</v>
      </c>
      <c r="S182">
        <v>142.30000000000001</v>
      </c>
      <c r="T182">
        <v>147.5</v>
      </c>
      <c r="U182" t="s">
        <v>32</v>
      </c>
      <c r="V182">
        <v>142.30000000000001</v>
      </c>
      <c r="W182">
        <v>139.80000000000001</v>
      </c>
      <c r="X182">
        <v>136</v>
      </c>
      <c r="Y182">
        <v>122.7</v>
      </c>
      <c r="Z182">
        <v>134.30000000000001</v>
      </c>
      <c r="AA182">
        <v>141.6</v>
      </c>
      <c r="AB182">
        <v>128.6</v>
      </c>
      <c r="AC182">
        <v>132.30000000000001</v>
      </c>
      <c r="AD182">
        <v>139.30000000000001</v>
      </c>
    </row>
    <row r="183" spans="1:30">
      <c r="A183" t="s">
        <v>33</v>
      </c>
      <c r="B183">
        <v>2018</v>
      </c>
      <c r="C183" t="s">
        <v>31</v>
      </c>
      <c r="D183">
        <v>134.6</v>
      </c>
      <c r="E183">
        <v>143.69999999999999</v>
      </c>
      <c r="F183">
        <v>143.6</v>
      </c>
      <c r="G183">
        <v>139.6</v>
      </c>
      <c r="H183">
        <v>116.4</v>
      </c>
      <c r="I183">
        <v>133.80000000000001</v>
      </c>
      <c r="J183">
        <v>150.5</v>
      </c>
      <c r="K183">
        <v>118.4</v>
      </c>
      <c r="L183">
        <v>117.3</v>
      </c>
      <c r="M183">
        <v>140.5</v>
      </c>
      <c r="N183">
        <v>125.9</v>
      </c>
      <c r="O183">
        <v>146.80000000000001</v>
      </c>
      <c r="P183">
        <v>137.19999999999999</v>
      </c>
      <c r="Q183">
        <v>157.69999999999999</v>
      </c>
      <c r="R183">
        <v>136</v>
      </c>
      <c r="S183">
        <v>125.9</v>
      </c>
      <c r="T183">
        <v>134.4</v>
      </c>
      <c r="U183" t="s">
        <v>104</v>
      </c>
      <c r="V183">
        <v>127.3</v>
      </c>
      <c r="W183">
        <v>129.5</v>
      </c>
      <c r="X183">
        <v>129</v>
      </c>
      <c r="Y183">
        <v>116.3</v>
      </c>
      <c r="Z183">
        <v>126.2</v>
      </c>
      <c r="AA183">
        <v>137.1</v>
      </c>
      <c r="AB183">
        <v>125.5</v>
      </c>
      <c r="AC183">
        <v>125.8</v>
      </c>
      <c r="AD183">
        <v>134.1</v>
      </c>
    </row>
    <row r="184" spans="1:30">
      <c r="A184" t="s">
        <v>35</v>
      </c>
      <c r="B184">
        <v>2018</v>
      </c>
      <c r="C184" t="s">
        <v>31</v>
      </c>
      <c r="D184">
        <v>136</v>
      </c>
      <c r="E184">
        <v>144.19999999999999</v>
      </c>
      <c r="F184">
        <v>143.69999999999999</v>
      </c>
      <c r="G184">
        <v>141.1</v>
      </c>
      <c r="H184">
        <v>120.7</v>
      </c>
      <c r="I184">
        <v>141.30000000000001</v>
      </c>
      <c r="J184">
        <v>151.6</v>
      </c>
      <c r="K184">
        <v>127.3</v>
      </c>
      <c r="L184">
        <v>118.8</v>
      </c>
      <c r="M184">
        <v>137.5</v>
      </c>
      <c r="N184">
        <v>129</v>
      </c>
      <c r="O184">
        <v>149.5</v>
      </c>
      <c r="P184">
        <v>139.19999999999999</v>
      </c>
      <c r="Q184">
        <v>154.69999999999999</v>
      </c>
      <c r="R184">
        <v>143.5</v>
      </c>
      <c r="S184">
        <v>135.5</v>
      </c>
      <c r="T184">
        <v>142.30000000000001</v>
      </c>
      <c r="U184" t="s">
        <v>104</v>
      </c>
      <c r="V184">
        <v>136.6</v>
      </c>
      <c r="W184">
        <v>134.9</v>
      </c>
      <c r="X184">
        <v>133.30000000000001</v>
      </c>
      <c r="Y184">
        <v>119.3</v>
      </c>
      <c r="Z184">
        <v>129.69999999999999</v>
      </c>
      <c r="AA184">
        <v>139</v>
      </c>
      <c r="AB184">
        <v>127.3</v>
      </c>
      <c r="AC184">
        <v>129.1</v>
      </c>
      <c r="AD184">
        <v>136.9</v>
      </c>
    </row>
    <row r="185" spans="1:30">
      <c r="A185" t="s">
        <v>30</v>
      </c>
      <c r="B185">
        <v>2018</v>
      </c>
      <c r="C185" t="s">
        <v>36</v>
      </c>
      <c r="D185">
        <v>136.4</v>
      </c>
      <c r="E185">
        <v>143.69999999999999</v>
      </c>
      <c r="F185">
        <v>140.6</v>
      </c>
      <c r="G185">
        <v>141.5</v>
      </c>
      <c r="H185">
        <v>122.9</v>
      </c>
      <c r="I185">
        <v>149.4</v>
      </c>
      <c r="J185">
        <v>142.4</v>
      </c>
      <c r="K185">
        <v>130.19999999999999</v>
      </c>
      <c r="L185">
        <v>117.9</v>
      </c>
      <c r="M185">
        <v>135.6</v>
      </c>
      <c r="N185">
        <v>130.5</v>
      </c>
      <c r="O185">
        <v>151.69999999999999</v>
      </c>
      <c r="P185">
        <v>138.69999999999999</v>
      </c>
      <c r="Q185">
        <v>153.30000000000001</v>
      </c>
      <c r="R185">
        <v>148.69999999999999</v>
      </c>
      <c r="S185">
        <v>142.4</v>
      </c>
      <c r="T185">
        <v>147.80000000000001</v>
      </c>
      <c r="U185" t="s">
        <v>32</v>
      </c>
      <c r="V185">
        <v>142.4</v>
      </c>
      <c r="W185">
        <v>139.9</v>
      </c>
      <c r="X185">
        <v>136.19999999999999</v>
      </c>
      <c r="Y185">
        <v>123.3</v>
      </c>
      <c r="Z185">
        <v>134.30000000000001</v>
      </c>
      <c r="AA185">
        <v>141.5</v>
      </c>
      <c r="AB185">
        <v>128.80000000000001</v>
      </c>
      <c r="AC185">
        <v>132.5</v>
      </c>
      <c r="AD185">
        <v>138.5</v>
      </c>
    </row>
    <row r="186" spans="1:30">
      <c r="A186" t="s">
        <v>33</v>
      </c>
      <c r="B186">
        <v>2018</v>
      </c>
      <c r="C186" t="s">
        <v>36</v>
      </c>
      <c r="D186">
        <v>134.80000000000001</v>
      </c>
      <c r="E186">
        <v>143</v>
      </c>
      <c r="F186">
        <v>139.9</v>
      </c>
      <c r="G186">
        <v>139.9</v>
      </c>
      <c r="H186">
        <v>116.2</v>
      </c>
      <c r="I186">
        <v>135.5</v>
      </c>
      <c r="J186">
        <v>136.9</v>
      </c>
      <c r="K186">
        <v>117</v>
      </c>
      <c r="L186">
        <v>115.4</v>
      </c>
      <c r="M186">
        <v>140.69999999999999</v>
      </c>
      <c r="N186">
        <v>125.9</v>
      </c>
      <c r="O186">
        <v>147.1</v>
      </c>
      <c r="P186">
        <v>135.6</v>
      </c>
      <c r="Q186">
        <v>159.30000000000001</v>
      </c>
      <c r="R186">
        <v>136.30000000000001</v>
      </c>
      <c r="S186">
        <v>126.1</v>
      </c>
      <c r="T186">
        <v>134.69999999999999</v>
      </c>
      <c r="U186" t="s">
        <v>105</v>
      </c>
      <c r="V186">
        <v>127.3</v>
      </c>
      <c r="W186">
        <v>129.9</v>
      </c>
      <c r="X186">
        <v>129.80000000000001</v>
      </c>
      <c r="Y186">
        <v>117.4</v>
      </c>
      <c r="Z186">
        <v>126.5</v>
      </c>
      <c r="AA186">
        <v>137.19999999999999</v>
      </c>
      <c r="AB186">
        <v>126.2</v>
      </c>
      <c r="AC186">
        <v>126.5</v>
      </c>
      <c r="AD186">
        <v>134</v>
      </c>
    </row>
    <row r="187" spans="1:30">
      <c r="A187" t="s">
        <v>35</v>
      </c>
      <c r="B187">
        <v>2018</v>
      </c>
      <c r="C187" t="s">
        <v>36</v>
      </c>
      <c r="D187">
        <v>135.9</v>
      </c>
      <c r="E187">
        <v>143.5</v>
      </c>
      <c r="F187">
        <v>140.30000000000001</v>
      </c>
      <c r="G187">
        <v>140.9</v>
      </c>
      <c r="H187">
        <v>120.4</v>
      </c>
      <c r="I187">
        <v>142.9</v>
      </c>
      <c r="J187">
        <v>140.5</v>
      </c>
      <c r="K187">
        <v>125.8</v>
      </c>
      <c r="L187">
        <v>117.1</v>
      </c>
      <c r="M187">
        <v>137.30000000000001</v>
      </c>
      <c r="N187">
        <v>128.6</v>
      </c>
      <c r="O187">
        <v>149.6</v>
      </c>
      <c r="P187">
        <v>137.6</v>
      </c>
      <c r="Q187">
        <v>154.9</v>
      </c>
      <c r="R187">
        <v>143.80000000000001</v>
      </c>
      <c r="S187">
        <v>135.6</v>
      </c>
      <c r="T187">
        <v>142.6</v>
      </c>
      <c r="U187" t="s">
        <v>105</v>
      </c>
      <c r="V187">
        <v>136.69999999999999</v>
      </c>
      <c r="W187">
        <v>135.19999999999999</v>
      </c>
      <c r="X187">
        <v>133.80000000000001</v>
      </c>
      <c r="Y187">
        <v>120.2</v>
      </c>
      <c r="Z187">
        <v>129.9</v>
      </c>
      <c r="AA187">
        <v>139</v>
      </c>
      <c r="AB187">
        <v>127.7</v>
      </c>
      <c r="AC187">
        <v>129.6</v>
      </c>
      <c r="AD187">
        <v>136.4</v>
      </c>
    </row>
    <row r="188" spans="1:30">
      <c r="A188" t="s">
        <v>30</v>
      </c>
      <c r="B188">
        <v>2018</v>
      </c>
      <c r="C188" t="s">
        <v>38</v>
      </c>
      <c r="D188">
        <v>136.80000000000001</v>
      </c>
      <c r="E188">
        <v>143.80000000000001</v>
      </c>
      <c r="F188">
        <v>140</v>
      </c>
      <c r="G188">
        <v>142</v>
      </c>
      <c r="H188">
        <v>123.2</v>
      </c>
      <c r="I188">
        <v>152.9</v>
      </c>
      <c r="J188">
        <v>138</v>
      </c>
      <c r="K188">
        <v>129.30000000000001</v>
      </c>
      <c r="L188">
        <v>117.1</v>
      </c>
      <c r="M188">
        <v>136.30000000000001</v>
      </c>
      <c r="N188">
        <v>131.19999999999999</v>
      </c>
      <c r="O188">
        <v>152.80000000000001</v>
      </c>
      <c r="P188">
        <v>138.6</v>
      </c>
      <c r="Q188">
        <v>155.1</v>
      </c>
      <c r="R188">
        <v>149.19999999999999</v>
      </c>
      <c r="S188">
        <v>143</v>
      </c>
      <c r="T188">
        <v>148.30000000000001</v>
      </c>
      <c r="U188" t="s">
        <v>32</v>
      </c>
      <c r="V188">
        <v>142.6</v>
      </c>
      <c r="W188">
        <v>139.9</v>
      </c>
      <c r="X188">
        <v>136.69999999999999</v>
      </c>
      <c r="Y188">
        <v>124.6</v>
      </c>
      <c r="Z188">
        <v>135.1</v>
      </c>
      <c r="AA188">
        <v>142.69999999999999</v>
      </c>
      <c r="AB188">
        <v>129.30000000000001</v>
      </c>
      <c r="AC188">
        <v>133.30000000000001</v>
      </c>
      <c r="AD188">
        <v>138.69999999999999</v>
      </c>
    </row>
    <row r="189" spans="1:30">
      <c r="A189" t="s">
        <v>33</v>
      </c>
      <c r="B189">
        <v>2018</v>
      </c>
      <c r="C189" t="s">
        <v>38</v>
      </c>
      <c r="D189">
        <v>135</v>
      </c>
      <c r="E189">
        <v>143.1</v>
      </c>
      <c r="F189">
        <v>135.5</v>
      </c>
      <c r="G189">
        <v>139.9</v>
      </c>
      <c r="H189">
        <v>116.5</v>
      </c>
      <c r="I189">
        <v>138.5</v>
      </c>
      <c r="J189">
        <v>128</v>
      </c>
      <c r="K189">
        <v>115.5</v>
      </c>
      <c r="L189">
        <v>114.2</v>
      </c>
      <c r="M189">
        <v>140.69999999999999</v>
      </c>
      <c r="N189">
        <v>126.2</v>
      </c>
      <c r="O189">
        <v>147.6</v>
      </c>
      <c r="P189">
        <v>134.80000000000001</v>
      </c>
      <c r="Q189">
        <v>159.69999999999999</v>
      </c>
      <c r="R189">
        <v>136.69999999999999</v>
      </c>
      <c r="S189">
        <v>126.7</v>
      </c>
      <c r="T189">
        <v>135.19999999999999</v>
      </c>
      <c r="U189" t="s">
        <v>106</v>
      </c>
      <c r="V189">
        <v>126.4</v>
      </c>
      <c r="W189">
        <v>130.80000000000001</v>
      </c>
      <c r="X189">
        <v>130.5</v>
      </c>
      <c r="Y189">
        <v>117.8</v>
      </c>
      <c r="Z189">
        <v>126.8</v>
      </c>
      <c r="AA189">
        <v>137.80000000000001</v>
      </c>
      <c r="AB189">
        <v>126.7</v>
      </c>
      <c r="AC189">
        <v>127.1</v>
      </c>
      <c r="AD189">
        <v>134</v>
      </c>
    </row>
    <row r="190" spans="1:30">
      <c r="A190" t="s">
        <v>35</v>
      </c>
      <c r="B190">
        <v>2018</v>
      </c>
      <c r="C190" t="s">
        <v>38</v>
      </c>
      <c r="D190">
        <v>136.19999999999999</v>
      </c>
      <c r="E190">
        <v>143.6</v>
      </c>
      <c r="F190">
        <v>138.30000000000001</v>
      </c>
      <c r="G190">
        <v>141.19999999999999</v>
      </c>
      <c r="H190">
        <v>120.7</v>
      </c>
      <c r="I190">
        <v>146.19999999999999</v>
      </c>
      <c r="J190">
        <v>134.6</v>
      </c>
      <c r="K190">
        <v>124.6</v>
      </c>
      <c r="L190">
        <v>116.1</v>
      </c>
      <c r="M190">
        <v>137.80000000000001</v>
      </c>
      <c r="N190">
        <v>129.1</v>
      </c>
      <c r="O190">
        <v>150.4</v>
      </c>
      <c r="P190">
        <v>137.19999999999999</v>
      </c>
      <c r="Q190">
        <v>156.30000000000001</v>
      </c>
      <c r="R190">
        <v>144.30000000000001</v>
      </c>
      <c r="S190">
        <v>136.19999999999999</v>
      </c>
      <c r="T190">
        <v>143.1</v>
      </c>
      <c r="U190" t="s">
        <v>106</v>
      </c>
      <c r="V190">
        <v>136.5</v>
      </c>
      <c r="W190">
        <v>135.6</v>
      </c>
      <c r="X190">
        <v>134.30000000000001</v>
      </c>
      <c r="Y190">
        <v>121</v>
      </c>
      <c r="Z190">
        <v>130.4</v>
      </c>
      <c r="AA190">
        <v>139.80000000000001</v>
      </c>
      <c r="AB190">
        <v>128.19999999999999</v>
      </c>
      <c r="AC190">
        <v>130.30000000000001</v>
      </c>
      <c r="AD190">
        <v>136.5</v>
      </c>
    </row>
    <row r="191" spans="1:30">
      <c r="A191" t="s">
        <v>30</v>
      </c>
      <c r="B191">
        <v>2018</v>
      </c>
      <c r="C191" t="s">
        <v>39</v>
      </c>
      <c r="D191">
        <v>137.1</v>
      </c>
      <c r="E191">
        <v>144.5</v>
      </c>
      <c r="F191">
        <v>135.9</v>
      </c>
      <c r="G191">
        <v>142.4</v>
      </c>
      <c r="H191">
        <v>123.5</v>
      </c>
      <c r="I191">
        <v>156.4</v>
      </c>
      <c r="J191">
        <v>135.1</v>
      </c>
      <c r="K191">
        <v>128.4</v>
      </c>
      <c r="L191">
        <v>115.2</v>
      </c>
      <c r="M191">
        <v>137.19999999999999</v>
      </c>
      <c r="N191">
        <v>131.9</v>
      </c>
      <c r="O191">
        <v>153.80000000000001</v>
      </c>
      <c r="P191">
        <v>138.6</v>
      </c>
      <c r="Q191">
        <v>156.1</v>
      </c>
      <c r="R191">
        <v>150.1</v>
      </c>
      <c r="S191">
        <v>143.30000000000001</v>
      </c>
      <c r="T191">
        <v>149.1</v>
      </c>
      <c r="U191" t="s">
        <v>32</v>
      </c>
      <c r="V191">
        <v>143.80000000000001</v>
      </c>
      <c r="W191">
        <v>140.9</v>
      </c>
      <c r="X191">
        <v>137.6</v>
      </c>
      <c r="Y191">
        <v>125.3</v>
      </c>
      <c r="Z191">
        <v>136</v>
      </c>
      <c r="AA191">
        <v>143.69999999999999</v>
      </c>
      <c r="AB191">
        <v>130.4</v>
      </c>
      <c r="AC191">
        <v>134.19999999999999</v>
      </c>
      <c r="AD191">
        <v>139.1</v>
      </c>
    </row>
    <row r="192" spans="1:30">
      <c r="A192" t="s">
        <v>33</v>
      </c>
      <c r="B192">
        <v>2018</v>
      </c>
      <c r="C192" t="s">
        <v>39</v>
      </c>
      <c r="D192">
        <v>135</v>
      </c>
      <c r="E192">
        <v>144.30000000000001</v>
      </c>
      <c r="F192">
        <v>130.80000000000001</v>
      </c>
      <c r="G192">
        <v>140.30000000000001</v>
      </c>
      <c r="H192">
        <v>116.6</v>
      </c>
      <c r="I192">
        <v>150.1</v>
      </c>
      <c r="J192">
        <v>127.6</v>
      </c>
      <c r="K192">
        <v>114</v>
      </c>
      <c r="L192">
        <v>110.6</v>
      </c>
      <c r="M192">
        <v>140.19999999999999</v>
      </c>
      <c r="N192">
        <v>126.5</v>
      </c>
      <c r="O192">
        <v>148.30000000000001</v>
      </c>
      <c r="P192">
        <v>135.69999999999999</v>
      </c>
      <c r="Q192">
        <v>159.19999999999999</v>
      </c>
      <c r="R192">
        <v>137.80000000000001</v>
      </c>
      <c r="S192">
        <v>127.4</v>
      </c>
      <c r="T192">
        <v>136.19999999999999</v>
      </c>
      <c r="U192" t="s">
        <v>107</v>
      </c>
      <c r="V192">
        <v>124.6</v>
      </c>
      <c r="W192">
        <v>131.80000000000001</v>
      </c>
      <c r="X192">
        <v>131.30000000000001</v>
      </c>
      <c r="Y192">
        <v>118.9</v>
      </c>
      <c r="Z192">
        <v>127.6</v>
      </c>
      <c r="AA192">
        <v>139.69999999999999</v>
      </c>
      <c r="AB192">
        <v>127.6</v>
      </c>
      <c r="AC192">
        <v>128.19999999999999</v>
      </c>
      <c r="AD192">
        <v>134.80000000000001</v>
      </c>
    </row>
    <row r="193" spans="1:30">
      <c r="A193" t="s">
        <v>35</v>
      </c>
      <c r="B193">
        <v>2018</v>
      </c>
      <c r="C193" t="s">
        <v>39</v>
      </c>
      <c r="D193">
        <v>136.4</v>
      </c>
      <c r="E193">
        <v>144.4</v>
      </c>
      <c r="F193">
        <v>133.9</v>
      </c>
      <c r="G193">
        <v>141.6</v>
      </c>
      <c r="H193">
        <v>121</v>
      </c>
      <c r="I193">
        <v>153.5</v>
      </c>
      <c r="J193">
        <v>132.6</v>
      </c>
      <c r="K193">
        <v>123.5</v>
      </c>
      <c r="L193">
        <v>113.7</v>
      </c>
      <c r="M193">
        <v>138.19999999999999</v>
      </c>
      <c r="N193">
        <v>129.6</v>
      </c>
      <c r="O193">
        <v>151.19999999999999</v>
      </c>
      <c r="P193">
        <v>137.5</v>
      </c>
      <c r="Q193">
        <v>156.9</v>
      </c>
      <c r="R193">
        <v>145.30000000000001</v>
      </c>
      <c r="S193">
        <v>136.69999999999999</v>
      </c>
      <c r="T193">
        <v>144</v>
      </c>
      <c r="U193" t="s">
        <v>107</v>
      </c>
      <c r="V193">
        <v>136.5</v>
      </c>
      <c r="W193">
        <v>136.6</v>
      </c>
      <c r="X193">
        <v>135.19999999999999</v>
      </c>
      <c r="Y193">
        <v>121.9</v>
      </c>
      <c r="Z193">
        <v>131.30000000000001</v>
      </c>
      <c r="AA193">
        <v>141.4</v>
      </c>
      <c r="AB193">
        <v>129.19999999999999</v>
      </c>
      <c r="AC193">
        <v>131.30000000000001</v>
      </c>
      <c r="AD193">
        <v>137.1</v>
      </c>
    </row>
    <row r="194" spans="1:30">
      <c r="A194" t="s">
        <v>30</v>
      </c>
      <c r="B194">
        <v>2018</v>
      </c>
      <c r="C194" t="s">
        <v>41</v>
      </c>
      <c r="D194">
        <v>137.4</v>
      </c>
      <c r="E194">
        <v>145.69999999999999</v>
      </c>
      <c r="F194">
        <v>135.5</v>
      </c>
      <c r="G194">
        <v>142.9</v>
      </c>
      <c r="H194">
        <v>123.6</v>
      </c>
      <c r="I194">
        <v>157.5</v>
      </c>
      <c r="J194">
        <v>137.80000000000001</v>
      </c>
      <c r="K194">
        <v>127.2</v>
      </c>
      <c r="L194">
        <v>111.8</v>
      </c>
      <c r="M194">
        <v>137.4</v>
      </c>
      <c r="N194">
        <v>132.19999999999999</v>
      </c>
      <c r="O194">
        <v>154.30000000000001</v>
      </c>
      <c r="P194">
        <v>139.1</v>
      </c>
      <c r="Q194">
        <v>157</v>
      </c>
      <c r="R194">
        <v>150.80000000000001</v>
      </c>
      <c r="S194">
        <v>144.1</v>
      </c>
      <c r="T194">
        <v>149.80000000000001</v>
      </c>
      <c r="U194" t="s">
        <v>32</v>
      </c>
      <c r="V194">
        <v>144.30000000000001</v>
      </c>
      <c r="W194">
        <v>141.80000000000001</v>
      </c>
      <c r="X194">
        <v>138.4</v>
      </c>
      <c r="Y194">
        <v>126.4</v>
      </c>
      <c r="Z194">
        <v>136.80000000000001</v>
      </c>
      <c r="AA194">
        <v>144.4</v>
      </c>
      <c r="AB194">
        <v>131.19999999999999</v>
      </c>
      <c r="AC194">
        <v>135.1</v>
      </c>
      <c r="AD194">
        <v>139.80000000000001</v>
      </c>
    </row>
    <row r="195" spans="1:30">
      <c r="A195" t="s">
        <v>33</v>
      </c>
      <c r="B195">
        <v>2018</v>
      </c>
      <c r="C195" t="s">
        <v>41</v>
      </c>
      <c r="D195">
        <v>135</v>
      </c>
      <c r="E195">
        <v>148.19999999999999</v>
      </c>
      <c r="F195">
        <v>130.5</v>
      </c>
      <c r="G195">
        <v>140.69999999999999</v>
      </c>
      <c r="H195">
        <v>116.4</v>
      </c>
      <c r="I195">
        <v>151.30000000000001</v>
      </c>
      <c r="J195">
        <v>131.4</v>
      </c>
      <c r="K195">
        <v>112.8</v>
      </c>
      <c r="L195">
        <v>105.3</v>
      </c>
      <c r="M195">
        <v>139.6</v>
      </c>
      <c r="N195">
        <v>126.6</v>
      </c>
      <c r="O195">
        <v>148.69999999999999</v>
      </c>
      <c r="P195">
        <v>136.4</v>
      </c>
      <c r="Q195">
        <v>160.30000000000001</v>
      </c>
      <c r="R195">
        <v>138.6</v>
      </c>
      <c r="S195">
        <v>127.9</v>
      </c>
      <c r="T195">
        <v>137</v>
      </c>
      <c r="U195" t="s">
        <v>108</v>
      </c>
      <c r="V195">
        <v>124.7</v>
      </c>
      <c r="W195">
        <v>132.5</v>
      </c>
      <c r="X195">
        <v>132</v>
      </c>
      <c r="Y195">
        <v>119.8</v>
      </c>
      <c r="Z195">
        <v>128</v>
      </c>
      <c r="AA195">
        <v>140.4</v>
      </c>
      <c r="AB195">
        <v>128.1</v>
      </c>
      <c r="AC195">
        <v>128.9</v>
      </c>
      <c r="AD195">
        <v>135.4</v>
      </c>
    </row>
    <row r="196" spans="1:30">
      <c r="A196" t="s">
        <v>35</v>
      </c>
      <c r="B196">
        <v>2018</v>
      </c>
      <c r="C196" t="s">
        <v>41</v>
      </c>
      <c r="D196">
        <v>136.6</v>
      </c>
      <c r="E196">
        <v>146.6</v>
      </c>
      <c r="F196">
        <v>133.6</v>
      </c>
      <c r="G196">
        <v>142.1</v>
      </c>
      <c r="H196">
        <v>121</v>
      </c>
      <c r="I196">
        <v>154.6</v>
      </c>
      <c r="J196">
        <v>135.6</v>
      </c>
      <c r="K196">
        <v>122.3</v>
      </c>
      <c r="L196">
        <v>109.6</v>
      </c>
      <c r="M196">
        <v>138.1</v>
      </c>
      <c r="N196">
        <v>129.9</v>
      </c>
      <c r="O196">
        <v>151.69999999999999</v>
      </c>
      <c r="P196">
        <v>138.1</v>
      </c>
      <c r="Q196">
        <v>157.9</v>
      </c>
      <c r="R196">
        <v>146</v>
      </c>
      <c r="S196">
        <v>137.4</v>
      </c>
      <c r="T196">
        <v>144.69999999999999</v>
      </c>
      <c r="U196" t="s">
        <v>108</v>
      </c>
      <c r="V196">
        <v>136.9</v>
      </c>
      <c r="W196">
        <v>137.4</v>
      </c>
      <c r="X196">
        <v>136</v>
      </c>
      <c r="Y196">
        <v>122.9</v>
      </c>
      <c r="Z196">
        <v>131.80000000000001</v>
      </c>
      <c r="AA196">
        <v>142.1</v>
      </c>
      <c r="AB196">
        <v>129.9</v>
      </c>
      <c r="AC196">
        <v>132.1</v>
      </c>
      <c r="AD196">
        <v>137.80000000000001</v>
      </c>
    </row>
    <row r="197" spans="1:30">
      <c r="A197" t="s">
        <v>30</v>
      </c>
      <c r="B197">
        <v>2018</v>
      </c>
      <c r="C197" t="s">
        <v>42</v>
      </c>
      <c r="D197">
        <v>137.6</v>
      </c>
      <c r="E197">
        <v>148.1</v>
      </c>
      <c r="F197">
        <v>136.69999999999999</v>
      </c>
      <c r="G197">
        <v>143.19999999999999</v>
      </c>
      <c r="H197">
        <v>124</v>
      </c>
      <c r="I197">
        <v>154.1</v>
      </c>
      <c r="J197">
        <v>143.5</v>
      </c>
      <c r="K197">
        <v>126</v>
      </c>
      <c r="L197">
        <v>112.4</v>
      </c>
      <c r="M197">
        <v>137.6</v>
      </c>
      <c r="N197">
        <v>132.80000000000001</v>
      </c>
      <c r="O197">
        <v>154.30000000000001</v>
      </c>
      <c r="P197">
        <v>140</v>
      </c>
      <c r="Q197">
        <v>157.30000000000001</v>
      </c>
      <c r="R197">
        <v>151.30000000000001</v>
      </c>
      <c r="S197">
        <v>144.69999999999999</v>
      </c>
      <c r="T197">
        <v>150.30000000000001</v>
      </c>
      <c r="U197" t="s">
        <v>32</v>
      </c>
      <c r="V197">
        <v>145.1</v>
      </c>
      <c r="W197">
        <v>142.19999999999999</v>
      </c>
      <c r="X197">
        <v>138.4</v>
      </c>
      <c r="Y197">
        <v>127.4</v>
      </c>
      <c r="Z197">
        <v>137.80000000000001</v>
      </c>
      <c r="AA197">
        <v>145.1</v>
      </c>
      <c r="AB197">
        <v>131.4</v>
      </c>
      <c r="AC197">
        <v>135.6</v>
      </c>
      <c r="AD197">
        <v>140.5</v>
      </c>
    </row>
    <row r="198" spans="1:30">
      <c r="A198" t="s">
        <v>33</v>
      </c>
      <c r="B198">
        <v>2018</v>
      </c>
      <c r="C198" t="s">
        <v>42</v>
      </c>
      <c r="D198">
        <v>135.30000000000001</v>
      </c>
      <c r="E198">
        <v>149.69999999999999</v>
      </c>
      <c r="F198">
        <v>133.9</v>
      </c>
      <c r="G198">
        <v>140.80000000000001</v>
      </c>
      <c r="H198">
        <v>116.6</v>
      </c>
      <c r="I198">
        <v>152.19999999999999</v>
      </c>
      <c r="J198">
        <v>144</v>
      </c>
      <c r="K198">
        <v>112.3</v>
      </c>
      <c r="L198">
        <v>108.4</v>
      </c>
      <c r="M198">
        <v>140</v>
      </c>
      <c r="N198">
        <v>126.7</v>
      </c>
      <c r="O198">
        <v>149</v>
      </c>
      <c r="P198">
        <v>138.4</v>
      </c>
      <c r="Q198">
        <v>161</v>
      </c>
      <c r="R198">
        <v>138.9</v>
      </c>
      <c r="S198">
        <v>128.69999999999999</v>
      </c>
      <c r="T198">
        <v>137.4</v>
      </c>
      <c r="U198" t="s">
        <v>109</v>
      </c>
      <c r="V198">
        <v>126.5</v>
      </c>
      <c r="W198">
        <v>133.1</v>
      </c>
      <c r="X198">
        <v>132.6</v>
      </c>
      <c r="Y198">
        <v>120.4</v>
      </c>
      <c r="Z198">
        <v>128.5</v>
      </c>
      <c r="AA198">
        <v>141.19999999999999</v>
      </c>
      <c r="AB198">
        <v>128.19999999999999</v>
      </c>
      <c r="AC198">
        <v>129.5</v>
      </c>
      <c r="AD198">
        <v>136.19999999999999</v>
      </c>
    </row>
    <row r="199" spans="1:30">
      <c r="A199" t="s">
        <v>35</v>
      </c>
      <c r="B199">
        <v>2018</v>
      </c>
      <c r="C199" t="s">
        <v>42</v>
      </c>
      <c r="D199">
        <v>136.9</v>
      </c>
      <c r="E199">
        <v>148.69999999999999</v>
      </c>
      <c r="F199">
        <v>135.6</v>
      </c>
      <c r="G199">
        <v>142.30000000000001</v>
      </c>
      <c r="H199">
        <v>121.3</v>
      </c>
      <c r="I199">
        <v>153.19999999999999</v>
      </c>
      <c r="J199">
        <v>143.69999999999999</v>
      </c>
      <c r="K199">
        <v>121.4</v>
      </c>
      <c r="L199">
        <v>111.1</v>
      </c>
      <c r="M199">
        <v>138.4</v>
      </c>
      <c r="N199">
        <v>130.30000000000001</v>
      </c>
      <c r="O199">
        <v>151.80000000000001</v>
      </c>
      <c r="P199">
        <v>139.4</v>
      </c>
      <c r="Q199">
        <v>158.30000000000001</v>
      </c>
      <c r="R199">
        <v>146.4</v>
      </c>
      <c r="S199">
        <v>138.1</v>
      </c>
      <c r="T199">
        <v>145.19999999999999</v>
      </c>
      <c r="U199" t="s">
        <v>109</v>
      </c>
      <c r="V199">
        <v>138.1</v>
      </c>
      <c r="W199">
        <v>137.9</v>
      </c>
      <c r="X199">
        <v>136.19999999999999</v>
      </c>
      <c r="Y199">
        <v>123.7</v>
      </c>
      <c r="Z199">
        <v>132.6</v>
      </c>
      <c r="AA199">
        <v>142.80000000000001</v>
      </c>
      <c r="AB199">
        <v>130.1</v>
      </c>
      <c r="AC199">
        <v>132.6</v>
      </c>
      <c r="AD199">
        <v>138.5</v>
      </c>
    </row>
    <row r="200" spans="1:30">
      <c r="A200" t="s">
        <v>30</v>
      </c>
      <c r="B200">
        <v>2018</v>
      </c>
      <c r="C200" t="s">
        <v>44</v>
      </c>
      <c r="D200">
        <v>138.4</v>
      </c>
      <c r="E200">
        <v>149.30000000000001</v>
      </c>
      <c r="F200">
        <v>139.30000000000001</v>
      </c>
      <c r="G200">
        <v>143.4</v>
      </c>
      <c r="H200">
        <v>124.1</v>
      </c>
      <c r="I200">
        <v>153.30000000000001</v>
      </c>
      <c r="J200">
        <v>154.19999999999999</v>
      </c>
      <c r="K200">
        <v>126.4</v>
      </c>
      <c r="L200">
        <v>114.3</v>
      </c>
      <c r="M200">
        <v>138.19999999999999</v>
      </c>
      <c r="N200">
        <v>132.80000000000001</v>
      </c>
      <c r="O200">
        <v>154.80000000000001</v>
      </c>
      <c r="P200">
        <v>142</v>
      </c>
      <c r="Q200">
        <v>156.1</v>
      </c>
      <c r="R200">
        <v>151.5</v>
      </c>
      <c r="S200">
        <v>145.1</v>
      </c>
      <c r="T200">
        <v>150.6</v>
      </c>
      <c r="U200" t="s">
        <v>32</v>
      </c>
      <c r="V200">
        <v>146.80000000000001</v>
      </c>
      <c r="W200">
        <v>143.1</v>
      </c>
      <c r="X200">
        <v>139</v>
      </c>
      <c r="Y200">
        <v>127.5</v>
      </c>
      <c r="Z200">
        <v>138.4</v>
      </c>
      <c r="AA200">
        <v>145.80000000000001</v>
      </c>
      <c r="AB200">
        <v>131.4</v>
      </c>
      <c r="AC200">
        <v>136</v>
      </c>
      <c r="AD200">
        <v>141.80000000000001</v>
      </c>
    </row>
    <row r="201" spans="1:30">
      <c r="A201" t="s">
        <v>33</v>
      </c>
      <c r="B201">
        <v>2018</v>
      </c>
      <c r="C201" t="s">
        <v>44</v>
      </c>
      <c r="D201">
        <v>135.6</v>
      </c>
      <c r="E201">
        <v>148.6</v>
      </c>
      <c r="F201">
        <v>139.1</v>
      </c>
      <c r="G201">
        <v>141</v>
      </c>
      <c r="H201">
        <v>116.7</v>
      </c>
      <c r="I201">
        <v>149.69999999999999</v>
      </c>
      <c r="J201">
        <v>159.19999999999999</v>
      </c>
      <c r="K201">
        <v>112.6</v>
      </c>
      <c r="L201">
        <v>111.8</v>
      </c>
      <c r="M201">
        <v>140.30000000000001</v>
      </c>
      <c r="N201">
        <v>126.8</v>
      </c>
      <c r="O201">
        <v>149.4</v>
      </c>
      <c r="P201">
        <v>140.30000000000001</v>
      </c>
      <c r="Q201">
        <v>161.4</v>
      </c>
      <c r="R201">
        <v>139.6</v>
      </c>
      <c r="S201">
        <v>128.9</v>
      </c>
      <c r="T201">
        <v>137.9</v>
      </c>
      <c r="U201" t="s">
        <v>110</v>
      </c>
      <c r="V201">
        <v>128.1</v>
      </c>
      <c r="W201">
        <v>133.6</v>
      </c>
      <c r="X201">
        <v>133.6</v>
      </c>
      <c r="Y201">
        <v>120.1</v>
      </c>
      <c r="Z201">
        <v>129</v>
      </c>
      <c r="AA201">
        <v>144</v>
      </c>
      <c r="AB201">
        <v>128.19999999999999</v>
      </c>
      <c r="AC201">
        <v>130.19999999999999</v>
      </c>
      <c r="AD201">
        <v>137.5</v>
      </c>
    </row>
    <row r="202" spans="1:30">
      <c r="A202" t="s">
        <v>35</v>
      </c>
      <c r="B202">
        <v>2018</v>
      </c>
      <c r="C202" t="s">
        <v>44</v>
      </c>
      <c r="D202">
        <v>137.5</v>
      </c>
      <c r="E202">
        <v>149.1</v>
      </c>
      <c r="F202">
        <v>139.19999999999999</v>
      </c>
      <c r="G202">
        <v>142.5</v>
      </c>
      <c r="H202">
        <v>121.4</v>
      </c>
      <c r="I202">
        <v>151.6</v>
      </c>
      <c r="J202">
        <v>155.9</v>
      </c>
      <c r="K202">
        <v>121.7</v>
      </c>
      <c r="L202">
        <v>113.5</v>
      </c>
      <c r="M202">
        <v>138.9</v>
      </c>
      <c r="N202">
        <v>130.30000000000001</v>
      </c>
      <c r="O202">
        <v>152.30000000000001</v>
      </c>
      <c r="P202">
        <v>141.4</v>
      </c>
      <c r="Q202">
        <v>157.5</v>
      </c>
      <c r="R202">
        <v>146.80000000000001</v>
      </c>
      <c r="S202">
        <v>138.4</v>
      </c>
      <c r="T202">
        <v>145.6</v>
      </c>
      <c r="U202" t="s">
        <v>110</v>
      </c>
      <c r="V202">
        <v>139.69999999999999</v>
      </c>
      <c r="W202">
        <v>138.6</v>
      </c>
      <c r="X202">
        <v>137</v>
      </c>
      <c r="Y202">
        <v>123.6</v>
      </c>
      <c r="Z202">
        <v>133.1</v>
      </c>
      <c r="AA202">
        <v>144.69999999999999</v>
      </c>
      <c r="AB202">
        <v>130.1</v>
      </c>
      <c r="AC202">
        <v>133.19999999999999</v>
      </c>
      <c r="AD202">
        <v>139.80000000000001</v>
      </c>
    </row>
    <row r="203" spans="1:30">
      <c r="A203" t="s">
        <v>30</v>
      </c>
      <c r="B203">
        <v>2018</v>
      </c>
      <c r="C203" t="s">
        <v>46</v>
      </c>
      <c r="D203">
        <v>139.19999999999999</v>
      </c>
      <c r="E203">
        <v>148.80000000000001</v>
      </c>
      <c r="F203">
        <v>139.1</v>
      </c>
      <c r="G203">
        <v>143.5</v>
      </c>
      <c r="H203">
        <v>125</v>
      </c>
      <c r="I203">
        <v>154.4</v>
      </c>
      <c r="J203">
        <v>156.30000000000001</v>
      </c>
      <c r="K203">
        <v>126.8</v>
      </c>
      <c r="L203">
        <v>115.4</v>
      </c>
      <c r="M203">
        <v>138.6</v>
      </c>
      <c r="N203">
        <v>133.80000000000001</v>
      </c>
      <c r="O203">
        <v>155.19999999999999</v>
      </c>
      <c r="P203">
        <v>142.69999999999999</v>
      </c>
      <c r="Q203">
        <v>156.4</v>
      </c>
      <c r="R203">
        <v>152.1</v>
      </c>
      <c r="S203">
        <v>145.80000000000001</v>
      </c>
      <c r="T203">
        <v>151.30000000000001</v>
      </c>
      <c r="U203" t="s">
        <v>32</v>
      </c>
      <c r="V203">
        <v>147.69999999999999</v>
      </c>
      <c r="W203">
        <v>143.80000000000001</v>
      </c>
      <c r="X203">
        <v>139.4</v>
      </c>
      <c r="Y203">
        <v>128.30000000000001</v>
      </c>
      <c r="Z203">
        <v>138.6</v>
      </c>
      <c r="AA203">
        <v>146.9</v>
      </c>
      <c r="AB203">
        <v>131.30000000000001</v>
      </c>
      <c r="AC203">
        <v>136.6</v>
      </c>
      <c r="AD203">
        <v>142.5</v>
      </c>
    </row>
    <row r="204" spans="1:30">
      <c r="A204" t="s">
        <v>33</v>
      </c>
      <c r="B204">
        <v>2018</v>
      </c>
      <c r="C204" t="s">
        <v>46</v>
      </c>
      <c r="D204">
        <v>136.5</v>
      </c>
      <c r="E204">
        <v>146.4</v>
      </c>
      <c r="F204">
        <v>136.6</v>
      </c>
      <c r="G204">
        <v>141.19999999999999</v>
      </c>
      <c r="H204">
        <v>117.4</v>
      </c>
      <c r="I204">
        <v>146.30000000000001</v>
      </c>
      <c r="J204">
        <v>157.30000000000001</v>
      </c>
      <c r="K204">
        <v>113.6</v>
      </c>
      <c r="L204">
        <v>113.3</v>
      </c>
      <c r="M204">
        <v>141.1</v>
      </c>
      <c r="N204">
        <v>127.4</v>
      </c>
      <c r="O204">
        <v>150.4</v>
      </c>
      <c r="P204">
        <v>140.1</v>
      </c>
      <c r="Q204">
        <v>162.1</v>
      </c>
      <c r="R204">
        <v>140</v>
      </c>
      <c r="S204">
        <v>129</v>
      </c>
      <c r="T204">
        <v>138.30000000000001</v>
      </c>
      <c r="U204" t="s">
        <v>111</v>
      </c>
      <c r="V204">
        <v>129.80000000000001</v>
      </c>
      <c r="W204">
        <v>134.4</v>
      </c>
      <c r="X204">
        <v>134.9</v>
      </c>
      <c r="Y204">
        <v>120.7</v>
      </c>
      <c r="Z204">
        <v>129.80000000000001</v>
      </c>
      <c r="AA204">
        <v>145.30000000000001</v>
      </c>
      <c r="AB204">
        <v>128.30000000000001</v>
      </c>
      <c r="AC204">
        <v>131</v>
      </c>
      <c r="AD204">
        <v>138</v>
      </c>
    </row>
    <row r="205" spans="1:30">
      <c r="A205" t="s">
        <v>35</v>
      </c>
      <c r="B205">
        <v>2018</v>
      </c>
      <c r="C205" t="s">
        <v>46</v>
      </c>
      <c r="D205">
        <v>138.30000000000001</v>
      </c>
      <c r="E205">
        <v>148</v>
      </c>
      <c r="F205">
        <v>138.1</v>
      </c>
      <c r="G205">
        <v>142.6</v>
      </c>
      <c r="H205">
        <v>122.2</v>
      </c>
      <c r="I205">
        <v>150.6</v>
      </c>
      <c r="J205">
        <v>156.6</v>
      </c>
      <c r="K205">
        <v>122.4</v>
      </c>
      <c r="L205">
        <v>114.7</v>
      </c>
      <c r="M205">
        <v>139.4</v>
      </c>
      <c r="N205">
        <v>131.1</v>
      </c>
      <c r="O205">
        <v>153</v>
      </c>
      <c r="P205">
        <v>141.69999999999999</v>
      </c>
      <c r="Q205">
        <v>157.9</v>
      </c>
      <c r="R205">
        <v>147.30000000000001</v>
      </c>
      <c r="S205">
        <v>138.80000000000001</v>
      </c>
      <c r="T205">
        <v>146.1</v>
      </c>
      <c r="U205" t="s">
        <v>111</v>
      </c>
      <c r="V205">
        <v>140.9</v>
      </c>
      <c r="W205">
        <v>139.4</v>
      </c>
      <c r="X205">
        <v>137.69999999999999</v>
      </c>
      <c r="Y205">
        <v>124.3</v>
      </c>
      <c r="Z205">
        <v>133.6</v>
      </c>
      <c r="AA205">
        <v>146</v>
      </c>
      <c r="AB205">
        <v>130.1</v>
      </c>
      <c r="AC205">
        <v>133.9</v>
      </c>
      <c r="AD205">
        <v>140.4</v>
      </c>
    </row>
    <row r="206" spans="1:30">
      <c r="A206" t="s">
        <v>30</v>
      </c>
      <c r="B206">
        <v>2018</v>
      </c>
      <c r="C206" t="s">
        <v>48</v>
      </c>
      <c r="D206">
        <v>139.4</v>
      </c>
      <c r="E206">
        <v>147.19999999999999</v>
      </c>
      <c r="F206">
        <v>136.6</v>
      </c>
      <c r="G206">
        <v>143.69999999999999</v>
      </c>
      <c r="H206">
        <v>124.6</v>
      </c>
      <c r="I206">
        <v>150.1</v>
      </c>
      <c r="J206">
        <v>149.4</v>
      </c>
      <c r="K206">
        <v>125.4</v>
      </c>
      <c r="L206">
        <v>114.4</v>
      </c>
      <c r="M206">
        <v>138.69999999999999</v>
      </c>
      <c r="N206">
        <v>133.1</v>
      </c>
      <c r="O206">
        <v>155.9</v>
      </c>
      <c r="P206">
        <v>141.30000000000001</v>
      </c>
      <c r="Q206">
        <v>157.69999999999999</v>
      </c>
      <c r="R206">
        <v>152.1</v>
      </c>
      <c r="S206">
        <v>146.1</v>
      </c>
      <c r="T206">
        <v>151.30000000000001</v>
      </c>
      <c r="U206" t="s">
        <v>32</v>
      </c>
      <c r="V206">
        <v>149</v>
      </c>
      <c r="W206">
        <v>144</v>
      </c>
      <c r="X206">
        <v>140</v>
      </c>
      <c r="Y206">
        <v>129.9</v>
      </c>
      <c r="Z206">
        <v>140</v>
      </c>
      <c r="AA206">
        <v>147.6</v>
      </c>
      <c r="AB206">
        <v>132</v>
      </c>
      <c r="AC206">
        <v>137.4</v>
      </c>
      <c r="AD206">
        <v>142.1</v>
      </c>
    </row>
    <row r="207" spans="1:30">
      <c r="A207" t="s">
        <v>33</v>
      </c>
      <c r="B207">
        <v>2018</v>
      </c>
      <c r="C207" t="s">
        <v>48</v>
      </c>
      <c r="D207">
        <v>137</v>
      </c>
      <c r="E207">
        <v>143.1</v>
      </c>
      <c r="F207">
        <v>132.80000000000001</v>
      </c>
      <c r="G207">
        <v>141.5</v>
      </c>
      <c r="H207">
        <v>117.8</v>
      </c>
      <c r="I207">
        <v>140</v>
      </c>
      <c r="J207">
        <v>151.30000000000001</v>
      </c>
      <c r="K207">
        <v>113.5</v>
      </c>
      <c r="L207">
        <v>112.3</v>
      </c>
      <c r="M207">
        <v>141.19999999999999</v>
      </c>
      <c r="N207">
        <v>127.7</v>
      </c>
      <c r="O207">
        <v>151.30000000000001</v>
      </c>
      <c r="P207">
        <v>138.9</v>
      </c>
      <c r="Q207">
        <v>163.30000000000001</v>
      </c>
      <c r="R207">
        <v>140.80000000000001</v>
      </c>
      <c r="S207">
        <v>129.30000000000001</v>
      </c>
      <c r="T207">
        <v>139.1</v>
      </c>
      <c r="U207" t="s">
        <v>112</v>
      </c>
      <c r="V207">
        <v>131.19999999999999</v>
      </c>
      <c r="W207">
        <v>134.9</v>
      </c>
      <c r="X207">
        <v>135.69999999999999</v>
      </c>
      <c r="Y207">
        <v>122.5</v>
      </c>
      <c r="Z207">
        <v>130.19999999999999</v>
      </c>
      <c r="AA207">
        <v>145.19999999999999</v>
      </c>
      <c r="AB207">
        <v>129.30000000000001</v>
      </c>
      <c r="AC207">
        <v>131.9</v>
      </c>
      <c r="AD207">
        <v>138.1</v>
      </c>
    </row>
    <row r="208" spans="1:30">
      <c r="A208" t="s">
        <v>35</v>
      </c>
      <c r="B208">
        <v>2018</v>
      </c>
      <c r="C208" t="s">
        <v>48</v>
      </c>
      <c r="D208">
        <v>138.6</v>
      </c>
      <c r="E208">
        <v>145.80000000000001</v>
      </c>
      <c r="F208">
        <v>135.1</v>
      </c>
      <c r="G208">
        <v>142.9</v>
      </c>
      <c r="H208">
        <v>122.1</v>
      </c>
      <c r="I208">
        <v>145.4</v>
      </c>
      <c r="J208">
        <v>150</v>
      </c>
      <c r="K208">
        <v>121.4</v>
      </c>
      <c r="L208">
        <v>113.7</v>
      </c>
      <c r="M208">
        <v>139.5</v>
      </c>
      <c r="N208">
        <v>130.80000000000001</v>
      </c>
      <c r="O208">
        <v>153.80000000000001</v>
      </c>
      <c r="P208">
        <v>140.4</v>
      </c>
      <c r="Q208">
        <v>159.19999999999999</v>
      </c>
      <c r="R208">
        <v>147.69999999999999</v>
      </c>
      <c r="S208">
        <v>139.1</v>
      </c>
      <c r="T208">
        <v>146.5</v>
      </c>
      <c r="U208" t="s">
        <v>112</v>
      </c>
      <c r="V208">
        <v>142.30000000000001</v>
      </c>
      <c r="W208">
        <v>139.69999999999999</v>
      </c>
      <c r="X208">
        <v>138.4</v>
      </c>
      <c r="Y208">
        <v>126</v>
      </c>
      <c r="Z208">
        <v>134.5</v>
      </c>
      <c r="AA208">
        <v>146.19999999999999</v>
      </c>
      <c r="AB208">
        <v>130.9</v>
      </c>
      <c r="AC208">
        <v>134.69999999999999</v>
      </c>
      <c r="AD208">
        <v>140.19999999999999</v>
      </c>
    </row>
    <row r="209" spans="1:30">
      <c r="A209" t="s">
        <v>30</v>
      </c>
      <c r="B209">
        <v>2018</v>
      </c>
      <c r="C209" t="s">
        <v>50</v>
      </c>
      <c r="D209">
        <v>139.30000000000001</v>
      </c>
      <c r="E209">
        <v>147.6</v>
      </c>
      <c r="F209">
        <v>134.6</v>
      </c>
      <c r="G209">
        <v>141.9</v>
      </c>
      <c r="H209">
        <v>123.5</v>
      </c>
      <c r="I209">
        <v>144.5</v>
      </c>
      <c r="J209">
        <v>147.6</v>
      </c>
      <c r="K209">
        <v>121.4</v>
      </c>
      <c r="L209">
        <v>112.3</v>
      </c>
      <c r="M209">
        <v>139.5</v>
      </c>
      <c r="N209">
        <v>134.6</v>
      </c>
      <c r="O209">
        <v>155.19999999999999</v>
      </c>
      <c r="P209">
        <v>140.19999999999999</v>
      </c>
      <c r="Q209">
        <v>159.6</v>
      </c>
      <c r="R209">
        <v>150.69999999999999</v>
      </c>
      <c r="S209">
        <v>144.5</v>
      </c>
      <c r="T209">
        <v>149.80000000000001</v>
      </c>
      <c r="U209" t="s">
        <v>32</v>
      </c>
      <c r="V209">
        <v>149.69999999999999</v>
      </c>
      <c r="W209">
        <v>147.5</v>
      </c>
      <c r="X209">
        <v>144.80000000000001</v>
      </c>
      <c r="Y209">
        <v>130.80000000000001</v>
      </c>
      <c r="Z209">
        <v>140.1</v>
      </c>
      <c r="AA209">
        <v>148</v>
      </c>
      <c r="AB209">
        <v>134.4</v>
      </c>
      <c r="AC209">
        <v>139.80000000000001</v>
      </c>
      <c r="AD209">
        <v>142.19999999999999</v>
      </c>
    </row>
    <row r="210" spans="1:30">
      <c r="A210" t="s">
        <v>33</v>
      </c>
      <c r="B210">
        <v>2018</v>
      </c>
      <c r="C210" t="s">
        <v>50</v>
      </c>
      <c r="D210">
        <v>137.6</v>
      </c>
      <c r="E210">
        <v>144.9</v>
      </c>
      <c r="F210">
        <v>133.5</v>
      </c>
      <c r="G210">
        <v>141.5</v>
      </c>
      <c r="H210">
        <v>118</v>
      </c>
      <c r="I210">
        <v>139.5</v>
      </c>
      <c r="J210">
        <v>153</v>
      </c>
      <c r="K210">
        <v>113.2</v>
      </c>
      <c r="L210">
        <v>112.8</v>
      </c>
      <c r="M210">
        <v>141.1</v>
      </c>
      <c r="N210">
        <v>127.6</v>
      </c>
      <c r="O210">
        <v>152</v>
      </c>
      <c r="P210">
        <v>139.4</v>
      </c>
      <c r="Q210">
        <v>164</v>
      </c>
      <c r="R210">
        <v>141.5</v>
      </c>
      <c r="S210">
        <v>129.80000000000001</v>
      </c>
      <c r="T210">
        <v>139.69999999999999</v>
      </c>
      <c r="U210" t="s">
        <v>113</v>
      </c>
      <c r="V210">
        <v>133.4</v>
      </c>
      <c r="W210">
        <v>135.1</v>
      </c>
      <c r="X210">
        <v>136.19999999999999</v>
      </c>
      <c r="Y210">
        <v>123.3</v>
      </c>
      <c r="Z210">
        <v>130.69999999999999</v>
      </c>
      <c r="AA210">
        <v>145.5</v>
      </c>
      <c r="AB210">
        <v>130.4</v>
      </c>
      <c r="AC210">
        <v>132.5</v>
      </c>
      <c r="AD210">
        <v>138.9</v>
      </c>
    </row>
    <row r="211" spans="1:30">
      <c r="A211" t="s">
        <v>35</v>
      </c>
      <c r="B211">
        <v>2018</v>
      </c>
      <c r="C211" t="s">
        <v>50</v>
      </c>
      <c r="D211">
        <v>137.4</v>
      </c>
      <c r="E211">
        <v>149.5</v>
      </c>
      <c r="F211">
        <v>137.30000000000001</v>
      </c>
      <c r="G211">
        <v>141.9</v>
      </c>
      <c r="H211">
        <v>121.1</v>
      </c>
      <c r="I211">
        <v>142.5</v>
      </c>
      <c r="J211">
        <v>146.69999999999999</v>
      </c>
      <c r="K211">
        <v>119.1</v>
      </c>
      <c r="L211">
        <v>111.9</v>
      </c>
      <c r="M211">
        <v>141</v>
      </c>
      <c r="N211">
        <v>133.6</v>
      </c>
      <c r="O211">
        <v>154.5</v>
      </c>
      <c r="P211">
        <v>139.69999999999999</v>
      </c>
      <c r="Q211">
        <v>162.6</v>
      </c>
      <c r="R211">
        <v>148</v>
      </c>
      <c r="S211">
        <v>139.19999999999999</v>
      </c>
      <c r="T211">
        <v>146.80000000000001</v>
      </c>
      <c r="U211" t="s">
        <v>114</v>
      </c>
      <c r="V211">
        <v>145.30000000000001</v>
      </c>
      <c r="W211">
        <v>142.19999999999999</v>
      </c>
      <c r="X211">
        <v>142.1</v>
      </c>
      <c r="Y211">
        <v>125.5</v>
      </c>
      <c r="Z211">
        <v>136.5</v>
      </c>
      <c r="AA211">
        <v>147.80000000000001</v>
      </c>
      <c r="AB211">
        <v>132</v>
      </c>
      <c r="AC211">
        <v>136.30000000000001</v>
      </c>
      <c r="AD211">
        <v>140.80000000000001</v>
      </c>
    </row>
    <row r="212" spans="1:30">
      <c r="A212" t="s">
        <v>30</v>
      </c>
      <c r="B212">
        <v>2018</v>
      </c>
      <c r="C212" t="s">
        <v>53</v>
      </c>
      <c r="D212">
        <v>137.1</v>
      </c>
      <c r="E212">
        <v>150.80000000000001</v>
      </c>
      <c r="F212">
        <v>136.69999999999999</v>
      </c>
      <c r="G212">
        <v>141.9</v>
      </c>
      <c r="H212">
        <v>122.8</v>
      </c>
      <c r="I212">
        <v>143.9</v>
      </c>
      <c r="J212">
        <v>147.5</v>
      </c>
      <c r="K212">
        <v>121</v>
      </c>
      <c r="L212">
        <v>111.6</v>
      </c>
      <c r="M212">
        <v>140.6</v>
      </c>
      <c r="N212">
        <v>137.5</v>
      </c>
      <c r="O212">
        <v>156.1</v>
      </c>
      <c r="P212">
        <v>140</v>
      </c>
      <c r="Q212">
        <v>161.9</v>
      </c>
      <c r="R212">
        <v>151.69999999999999</v>
      </c>
      <c r="S212">
        <v>145.5</v>
      </c>
      <c r="T212">
        <v>150.80000000000001</v>
      </c>
      <c r="U212" t="s">
        <v>32</v>
      </c>
      <c r="V212">
        <v>150.30000000000001</v>
      </c>
      <c r="W212">
        <v>148</v>
      </c>
      <c r="X212">
        <v>145.4</v>
      </c>
      <c r="Y212">
        <v>130.30000000000001</v>
      </c>
      <c r="Z212">
        <v>143.1</v>
      </c>
      <c r="AA212">
        <v>150.19999999999999</v>
      </c>
      <c r="AB212">
        <v>133.1</v>
      </c>
      <c r="AC212">
        <v>140.1</v>
      </c>
      <c r="AD212">
        <v>142.4</v>
      </c>
    </row>
    <row r="213" spans="1:30">
      <c r="A213" t="s">
        <v>33</v>
      </c>
      <c r="B213">
        <v>2018</v>
      </c>
      <c r="C213" t="s">
        <v>53</v>
      </c>
      <c r="D213">
        <v>138.1</v>
      </c>
      <c r="E213">
        <v>146.30000000000001</v>
      </c>
      <c r="F213">
        <v>137.80000000000001</v>
      </c>
      <c r="G213">
        <v>141.6</v>
      </c>
      <c r="H213">
        <v>118.1</v>
      </c>
      <c r="I213">
        <v>141.5</v>
      </c>
      <c r="J213">
        <v>145.19999999999999</v>
      </c>
      <c r="K213">
        <v>115.3</v>
      </c>
      <c r="L213">
        <v>112.5</v>
      </c>
      <c r="M213">
        <v>141.4</v>
      </c>
      <c r="N213">
        <v>128</v>
      </c>
      <c r="O213">
        <v>152.6</v>
      </c>
      <c r="P213">
        <v>139.1</v>
      </c>
      <c r="Q213">
        <v>164.4</v>
      </c>
      <c r="R213">
        <v>142.4</v>
      </c>
      <c r="S213">
        <v>130.19999999999999</v>
      </c>
      <c r="T213">
        <v>140.5</v>
      </c>
      <c r="U213" t="s">
        <v>114</v>
      </c>
      <c r="V213">
        <v>136.69999999999999</v>
      </c>
      <c r="W213">
        <v>135.80000000000001</v>
      </c>
      <c r="X213">
        <v>136.80000000000001</v>
      </c>
      <c r="Y213">
        <v>121.2</v>
      </c>
      <c r="Z213">
        <v>131.30000000000001</v>
      </c>
      <c r="AA213">
        <v>146.1</v>
      </c>
      <c r="AB213">
        <v>130.5</v>
      </c>
      <c r="AC213">
        <v>132.19999999999999</v>
      </c>
      <c r="AD213">
        <v>139</v>
      </c>
    </row>
    <row r="214" spans="1:30">
      <c r="A214" t="s">
        <v>35</v>
      </c>
      <c r="B214">
        <v>2018</v>
      </c>
      <c r="C214" t="s">
        <v>53</v>
      </c>
      <c r="D214">
        <v>137.4</v>
      </c>
      <c r="E214">
        <v>149.19999999999999</v>
      </c>
      <c r="F214">
        <v>137.1</v>
      </c>
      <c r="G214">
        <v>141.80000000000001</v>
      </c>
      <c r="H214">
        <v>121.1</v>
      </c>
      <c r="I214">
        <v>142.80000000000001</v>
      </c>
      <c r="J214">
        <v>146.69999999999999</v>
      </c>
      <c r="K214">
        <v>119.1</v>
      </c>
      <c r="L214">
        <v>111.9</v>
      </c>
      <c r="M214">
        <v>140.9</v>
      </c>
      <c r="N214">
        <v>133.5</v>
      </c>
      <c r="O214">
        <v>154.5</v>
      </c>
      <c r="P214">
        <v>139.69999999999999</v>
      </c>
      <c r="Q214">
        <v>162.6</v>
      </c>
      <c r="R214">
        <v>148</v>
      </c>
      <c r="S214">
        <v>139.1</v>
      </c>
      <c r="T214">
        <v>146.69999999999999</v>
      </c>
      <c r="U214" t="s">
        <v>114</v>
      </c>
      <c r="V214">
        <v>145.1</v>
      </c>
      <c r="W214">
        <v>142.19999999999999</v>
      </c>
      <c r="X214">
        <v>142.1</v>
      </c>
      <c r="Y214">
        <v>125.5</v>
      </c>
      <c r="Z214">
        <v>136.5</v>
      </c>
      <c r="AA214">
        <v>147.80000000000001</v>
      </c>
      <c r="AB214">
        <v>132</v>
      </c>
      <c r="AC214">
        <v>136.30000000000001</v>
      </c>
      <c r="AD214">
        <v>140.80000000000001</v>
      </c>
    </row>
    <row r="215" spans="1:30">
      <c r="A215" t="s">
        <v>30</v>
      </c>
      <c r="B215">
        <v>2018</v>
      </c>
      <c r="C215" t="s">
        <v>55</v>
      </c>
      <c r="D215">
        <v>137.1</v>
      </c>
      <c r="E215">
        <v>151.9</v>
      </c>
      <c r="F215">
        <v>137.4</v>
      </c>
      <c r="G215">
        <v>142.4</v>
      </c>
      <c r="H215">
        <v>124.2</v>
      </c>
      <c r="I215">
        <v>140.19999999999999</v>
      </c>
      <c r="J215">
        <v>136.6</v>
      </c>
      <c r="K215">
        <v>120.9</v>
      </c>
      <c r="L215">
        <v>109.9</v>
      </c>
      <c r="M215">
        <v>140.19999999999999</v>
      </c>
      <c r="N215">
        <v>137.80000000000001</v>
      </c>
      <c r="O215">
        <v>156</v>
      </c>
      <c r="P215">
        <v>138.5</v>
      </c>
      <c r="Q215">
        <v>162.4</v>
      </c>
      <c r="R215">
        <v>151.6</v>
      </c>
      <c r="S215">
        <v>145.9</v>
      </c>
      <c r="T215">
        <v>150.80000000000001</v>
      </c>
      <c r="U215" t="s">
        <v>32</v>
      </c>
      <c r="V215">
        <v>149</v>
      </c>
      <c r="W215">
        <v>149.5</v>
      </c>
      <c r="X215">
        <v>149.6</v>
      </c>
      <c r="Y215">
        <v>128.9</v>
      </c>
      <c r="Z215">
        <v>143.30000000000001</v>
      </c>
      <c r="AA215">
        <v>155.1</v>
      </c>
      <c r="AB215">
        <v>133.19999999999999</v>
      </c>
      <c r="AC215">
        <v>141.6</v>
      </c>
      <c r="AD215">
        <v>141.9</v>
      </c>
    </row>
    <row r="216" spans="1:30">
      <c r="A216" t="s">
        <v>33</v>
      </c>
      <c r="B216">
        <v>2018</v>
      </c>
      <c r="C216" t="s">
        <v>55</v>
      </c>
      <c r="D216">
        <v>138.5</v>
      </c>
      <c r="E216">
        <v>147.80000000000001</v>
      </c>
      <c r="F216">
        <v>141.1</v>
      </c>
      <c r="G216">
        <v>141.6</v>
      </c>
      <c r="H216">
        <v>118.1</v>
      </c>
      <c r="I216">
        <v>138.5</v>
      </c>
      <c r="J216">
        <v>132.4</v>
      </c>
      <c r="K216">
        <v>117.5</v>
      </c>
      <c r="L216">
        <v>111</v>
      </c>
      <c r="M216">
        <v>141.5</v>
      </c>
      <c r="N216">
        <v>128.1</v>
      </c>
      <c r="O216">
        <v>152.9</v>
      </c>
      <c r="P216">
        <v>137.6</v>
      </c>
      <c r="Q216">
        <v>164.6</v>
      </c>
      <c r="R216">
        <v>142.69999999999999</v>
      </c>
      <c r="S216">
        <v>130.30000000000001</v>
      </c>
      <c r="T216">
        <v>140.80000000000001</v>
      </c>
      <c r="U216" t="s">
        <v>115</v>
      </c>
      <c r="V216">
        <v>132.4</v>
      </c>
      <c r="W216">
        <v>136.19999999999999</v>
      </c>
      <c r="X216">
        <v>137.30000000000001</v>
      </c>
      <c r="Y216">
        <v>118.8</v>
      </c>
      <c r="Z216">
        <v>131.69999999999999</v>
      </c>
      <c r="AA216">
        <v>146.5</v>
      </c>
      <c r="AB216">
        <v>130.80000000000001</v>
      </c>
      <c r="AC216">
        <v>131.69999999999999</v>
      </c>
      <c r="AD216">
        <v>138</v>
      </c>
    </row>
    <row r="217" spans="1:30">
      <c r="A217" t="s">
        <v>35</v>
      </c>
      <c r="B217">
        <v>2018</v>
      </c>
      <c r="C217" t="s">
        <v>55</v>
      </c>
      <c r="D217">
        <v>137.5</v>
      </c>
      <c r="E217">
        <v>150.5</v>
      </c>
      <c r="F217">
        <v>138.80000000000001</v>
      </c>
      <c r="G217">
        <v>142.1</v>
      </c>
      <c r="H217">
        <v>122</v>
      </c>
      <c r="I217">
        <v>139.4</v>
      </c>
      <c r="J217">
        <v>135.19999999999999</v>
      </c>
      <c r="K217">
        <v>119.8</v>
      </c>
      <c r="L217">
        <v>110.3</v>
      </c>
      <c r="M217">
        <v>140.6</v>
      </c>
      <c r="N217">
        <v>133.80000000000001</v>
      </c>
      <c r="O217">
        <v>154.6</v>
      </c>
      <c r="P217">
        <v>138.19999999999999</v>
      </c>
      <c r="Q217">
        <v>163</v>
      </c>
      <c r="R217">
        <v>148.1</v>
      </c>
      <c r="S217">
        <v>139.4</v>
      </c>
      <c r="T217">
        <v>146.80000000000001</v>
      </c>
      <c r="U217" t="s">
        <v>115</v>
      </c>
      <c r="V217">
        <v>142.69999999999999</v>
      </c>
      <c r="W217">
        <v>143.19999999999999</v>
      </c>
      <c r="X217">
        <v>144.9</v>
      </c>
      <c r="Y217">
        <v>123.6</v>
      </c>
      <c r="Z217">
        <v>136.80000000000001</v>
      </c>
      <c r="AA217">
        <v>150.1</v>
      </c>
      <c r="AB217">
        <v>132.19999999999999</v>
      </c>
      <c r="AC217">
        <v>136.80000000000001</v>
      </c>
      <c r="AD217">
        <v>140.1</v>
      </c>
    </row>
    <row r="218" spans="1:30">
      <c r="A218" t="s">
        <v>30</v>
      </c>
      <c r="B218">
        <v>2019</v>
      </c>
      <c r="C218" t="s">
        <v>31</v>
      </c>
      <c r="D218">
        <v>136.6</v>
      </c>
      <c r="E218">
        <v>152.5</v>
      </c>
      <c r="F218">
        <v>138.19999999999999</v>
      </c>
      <c r="G218">
        <v>142.4</v>
      </c>
      <c r="H218">
        <v>123.9</v>
      </c>
      <c r="I218">
        <v>135.5</v>
      </c>
      <c r="J218">
        <v>131.69999999999999</v>
      </c>
      <c r="K218">
        <v>121.3</v>
      </c>
      <c r="L218">
        <v>108.4</v>
      </c>
      <c r="M218">
        <v>138.9</v>
      </c>
      <c r="N218">
        <v>137</v>
      </c>
      <c r="O218">
        <v>155.80000000000001</v>
      </c>
      <c r="P218">
        <v>137.4</v>
      </c>
      <c r="Q218">
        <v>162.69999999999999</v>
      </c>
      <c r="R218">
        <v>150.6</v>
      </c>
      <c r="S218">
        <v>145.1</v>
      </c>
      <c r="T218">
        <v>149.9</v>
      </c>
      <c r="U218" t="s">
        <v>32</v>
      </c>
      <c r="V218">
        <v>146.19999999999999</v>
      </c>
      <c r="W218">
        <v>150.1</v>
      </c>
      <c r="X218">
        <v>149.6</v>
      </c>
      <c r="Y218">
        <v>128.6</v>
      </c>
      <c r="Z218">
        <v>142.9</v>
      </c>
      <c r="AA218">
        <v>155.19999999999999</v>
      </c>
      <c r="AB218">
        <v>133.5</v>
      </c>
      <c r="AC218">
        <v>141.69999999999999</v>
      </c>
      <c r="AD218">
        <v>141</v>
      </c>
    </row>
    <row r="219" spans="1:30">
      <c r="A219" t="s">
        <v>33</v>
      </c>
      <c r="B219">
        <v>2019</v>
      </c>
      <c r="C219" t="s">
        <v>31</v>
      </c>
      <c r="D219">
        <v>138.30000000000001</v>
      </c>
      <c r="E219">
        <v>149.4</v>
      </c>
      <c r="F219">
        <v>143.5</v>
      </c>
      <c r="G219">
        <v>141.69999999999999</v>
      </c>
      <c r="H219">
        <v>118.1</v>
      </c>
      <c r="I219">
        <v>135.19999999999999</v>
      </c>
      <c r="J219">
        <v>130.5</v>
      </c>
      <c r="K219">
        <v>118.2</v>
      </c>
      <c r="L219">
        <v>110.4</v>
      </c>
      <c r="M219">
        <v>140.4</v>
      </c>
      <c r="N219">
        <v>128.1</v>
      </c>
      <c r="O219">
        <v>153.19999999999999</v>
      </c>
      <c r="P219">
        <v>137.30000000000001</v>
      </c>
      <c r="Q219">
        <v>164.7</v>
      </c>
      <c r="R219">
        <v>143</v>
      </c>
      <c r="S219">
        <v>130.4</v>
      </c>
      <c r="T219">
        <v>141.1</v>
      </c>
      <c r="U219" t="s">
        <v>116</v>
      </c>
      <c r="V219">
        <v>128.6</v>
      </c>
      <c r="W219">
        <v>136.30000000000001</v>
      </c>
      <c r="X219">
        <v>137.80000000000001</v>
      </c>
      <c r="Y219">
        <v>118.6</v>
      </c>
      <c r="Z219">
        <v>131.9</v>
      </c>
      <c r="AA219">
        <v>146.6</v>
      </c>
      <c r="AB219">
        <v>131.69999999999999</v>
      </c>
      <c r="AC219">
        <v>131.80000000000001</v>
      </c>
      <c r="AD219">
        <v>138</v>
      </c>
    </row>
    <row r="220" spans="1:30">
      <c r="A220" t="s">
        <v>35</v>
      </c>
      <c r="B220">
        <v>2019</v>
      </c>
      <c r="C220" t="s">
        <v>31</v>
      </c>
      <c r="D220">
        <v>137.1</v>
      </c>
      <c r="E220">
        <v>151.4</v>
      </c>
      <c r="F220">
        <v>140.19999999999999</v>
      </c>
      <c r="G220">
        <v>142.1</v>
      </c>
      <c r="H220">
        <v>121.8</v>
      </c>
      <c r="I220">
        <v>135.4</v>
      </c>
      <c r="J220">
        <v>131.30000000000001</v>
      </c>
      <c r="K220">
        <v>120.3</v>
      </c>
      <c r="L220">
        <v>109.1</v>
      </c>
      <c r="M220">
        <v>139.4</v>
      </c>
      <c r="N220">
        <v>133.30000000000001</v>
      </c>
      <c r="O220">
        <v>154.6</v>
      </c>
      <c r="P220">
        <v>137.4</v>
      </c>
      <c r="Q220">
        <v>163.19999999999999</v>
      </c>
      <c r="R220">
        <v>147.6</v>
      </c>
      <c r="S220">
        <v>139</v>
      </c>
      <c r="T220">
        <v>146.4</v>
      </c>
      <c r="U220" t="s">
        <v>116</v>
      </c>
      <c r="V220">
        <v>139.5</v>
      </c>
      <c r="W220">
        <v>143.6</v>
      </c>
      <c r="X220">
        <v>145.1</v>
      </c>
      <c r="Y220">
        <v>123.3</v>
      </c>
      <c r="Z220">
        <v>136.69999999999999</v>
      </c>
      <c r="AA220">
        <v>150.19999999999999</v>
      </c>
      <c r="AB220">
        <v>132.80000000000001</v>
      </c>
      <c r="AC220">
        <v>136.9</v>
      </c>
      <c r="AD220">
        <v>139.6</v>
      </c>
    </row>
    <row r="221" spans="1:30">
      <c r="A221" t="s">
        <v>30</v>
      </c>
      <c r="B221">
        <v>2019</v>
      </c>
      <c r="C221" t="s">
        <v>36</v>
      </c>
      <c r="D221">
        <v>136.80000000000001</v>
      </c>
      <c r="E221">
        <v>153</v>
      </c>
      <c r="F221">
        <v>139.1</v>
      </c>
      <c r="G221">
        <v>142.5</v>
      </c>
      <c r="H221">
        <v>124.1</v>
      </c>
      <c r="I221">
        <v>135.80000000000001</v>
      </c>
      <c r="J221">
        <v>128.69999999999999</v>
      </c>
      <c r="K221">
        <v>121.5</v>
      </c>
      <c r="L221">
        <v>108.3</v>
      </c>
      <c r="M221">
        <v>139.19999999999999</v>
      </c>
      <c r="N221">
        <v>137.4</v>
      </c>
      <c r="O221">
        <v>156.19999999999999</v>
      </c>
      <c r="P221">
        <v>137.19999999999999</v>
      </c>
      <c r="Q221">
        <v>162.80000000000001</v>
      </c>
      <c r="R221">
        <v>150.5</v>
      </c>
      <c r="S221">
        <v>146.1</v>
      </c>
      <c r="T221">
        <v>149.9</v>
      </c>
      <c r="U221" t="s">
        <v>32</v>
      </c>
      <c r="V221">
        <v>145.30000000000001</v>
      </c>
      <c r="W221">
        <v>150.1</v>
      </c>
      <c r="X221">
        <v>149.9</v>
      </c>
      <c r="Y221">
        <v>129.19999999999999</v>
      </c>
      <c r="Z221">
        <v>143.4</v>
      </c>
      <c r="AA221">
        <v>155.5</v>
      </c>
      <c r="AB221">
        <v>134.9</v>
      </c>
      <c r="AC221">
        <v>142.19999999999999</v>
      </c>
      <c r="AD221">
        <v>141</v>
      </c>
    </row>
    <row r="222" spans="1:30">
      <c r="A222" t="s">
        <v>33</v>
      </c>
      <c r="B222">
        <v>2019</v>
      </c>
      <c r="C222" t="s">
        <v>36</v>
      </c>
      <c r="D222">
        <v>139.4</v>
      </c>
      <c r="E222">
        <v>150.1</v>
      </c>
      <c r="F222">
        <v>145.30000000000001</v>
      </c>
      <c r="G222">
        <v>141.69999999999999</v>
      </c>
      <c r="H222">
        <v>118.4</v>
      </c>
      <c r="I222">
        <v>137</v>
      </c>
      <c r="J222">
        <v>131.6</v>
      </c>
      <c r="K222">
        <v>119.9</v>
      </c>
      <c r="L222">
        <v>110.4</v>
      </c>
      <c r="M222">
        <v>140.80000000000001</v>
      </c>
      <c r="N222">
        <v>128.30000000000001</v>
      </c>
      <c r="O222">
        <v>153.5</v>
      </c>
      <c r="P222">
        <v>138</v>
      </c>
      <c r="Q222">
        <v>164.9</v>
      </c>
      <c r="R222">
        <v>143.30000000000001</v>
      </c>
      <c r="S222">
        <v>130.80000000000001</v>
      </c>
      <c r="T222">
        <v>141.4</v>
      </c>
      <c r="U222" t="s">
        <v>117</v>
      </c>
      <c r="V222">
        <v>127.1</v>
      </c>
      <c r="W222">
        <v>136.6</v>
      </c>
      <c r="X222">
        <v>138.5</v>
      </c>
      <c r="Y222">
        <v>119.2</v>
      </c>
      <c r="Z222">
        <v>132.19999999999999</v>
      </c>
      <c r="AA222">
        <v>146.6</v>
      </c>
      <c r="AB222">
        <v>133</v>
      </c>
      <c r="AC222">
        <v>132.4</v>
      </c>
      <c r="AD222">
        <v>138.6</v>
      </c>
    </row>
    <row r="223" spans="1:30">
      <c r="A223" t="s">
        <v>35</v>
      </c>
      <c r="B223">
        <v>2019</v>
      </c>
      <c r="C223" t="s">
        <v>36</v>
      </c>
      <c r="D223">
        <v>137.6</v>
      </c>
      <c r="E223">
        <v>152</v>
      </c>
      <c r="F223">
        <v>141.5</v>
      </c>
      <c r="G223">
        <v>142.19999999999999</v>
      </c>
      <c r="H223">
        <v>122</v>
      </c>
      <c r="I223">
        <v>136.4</v>
      </c>
      <c r="J223">
        <v>129.69999999999999</v>
      </c>
      <c r="K223">
        <v>121</v>
      </c>
      <c r="L223">
        <v>109</v>
      </c>
      <c r="M223">
        <v>139.69999999999999</v>
      </c>
      <c r="N223">
        <v>133.6</v>
      </c>
      <c r="O223">
        <v>154.9</v>
      </c>
      <c r="P223">
        <v>137.5</v>
      </c>
      <c r="Q223">
        <v>163.4</v>
      </c>
      <c r="R223">
        <v>147.69999999999999</v>
      </c>
      <c r="S223">
        <v>139.69999999999999</v>
      </c>
      <c r="T223">
        <v>146.5</v>
      </c>
      <c r="U223" t="s">
        <v>117</v>
      </c>
      <c r="V223">
        <v>138.4</v>
      </c>
      <c r="W223">
        <v>143.69999999999999</v>
      </c>
      <c r="X223">
        <v>145.6</v>
      </c>
      <c r="Y223">
        <v>123.9</v>
      </c>
      <c r="Z223">
        <v>137.1</v>
      </c>
      <c r="AA223">
        <v>150.30000000000001</v>
      </c>
      <c r="AB223">
        <v>134.1</v>
      </c>
      <c r="AC223">
        <v>137.4</v>
      </c>
      <c r="AD223">
        <v>139.9</v>
      </c>
    </row>
    <row r="224" spans="1:30">
      <c r="A224" t="s">
        <v>30</v>
      </c>
      <c r="B224">
        <v>2019</v>
      </c>
      <c r="C224" t="s">
        <v>38</v>
      </c>
      <c r="D224">
        <v>136.9</v>
      </c>
      <c r="E224">
        <v>154.1</v>
      </c>
      <c r="F224">
        <v>138.69999999999999</v>
      </c>
      <c r="G224">
        <v>142.5</v>
      </c>
      <c r="H224">
        <v>124.1</v>
      </c>
      <c r="I224">
        <v>136.1</v>
      </c>
      <c r="J224">
        <v>128.19999999999999</v>
      </c>
      <c r="K224">
        <v>122.3</v>
      </c>
      <c r="L224">
        <v>108.3</v>
      </c>
      <c r="M224">
        <v>138.9</v>
      </c>
      <c r="N224">
        <v>137.4</v>
      </c>
      <c r="O224">
        <v>156.4</v>
      </c>
      <c r="P224">
        <v>137.30000000000001</v>
      </c>
      <c r="Q224">
        <v>162.9</v>
      </c>
      <c r="R224">
        <v>150.80000000000001</v>
      </c>
      <c r="S224">
        <v>146.1</v>
      </c>
      <c r="T224">
        <v>150.1</v>
      </c>
      <c r="U224" t="s">
        <v>32</v>
      </c>
      <c r="V224">
        <v>146.4</v>
      </c>
      <c r="W224">
        <v>150</v>
      </c>
      <c r="X224">
        <v>150.4</v>
      </c>
      <c r="Y224">
        <v>129.9</v>
      </c>
      <c r="Z224">
        <v>143.80000000000001</v>
      </c>
      <c r="AA224">
        <v>155.5</v>
      </c>
      <c r="AB224">
        <v>134</v>
      </c>
      <c r="AC224">
        <v>142.4</v>
      </c>
      <c r="AD224">
        <v>141.19999999999999</v>
      </c>
    </row>
    <row r="225" spans="1:30">
      <c r="A225" t="s">
        <v>33</v>
      </c>
      <c r="B225">
        <v>2019</v>
      </c>
      <c r="C225" t="s">
        <v>38</v>
      </c>
      <c r="D225">
        <v>139.69999999999999</v>
      </c>
      <c r="E225">
        <v>151.1</v>
      </c>
      <c r="F225">
        <v>142.9</v>
      </c>
      <c r="G225">
        <v>141.9</v>
      </c>
      <c r="H225">
        <v>118.4</v>
      </c>
      <c r="I225">
        <v>139.4</v>
      </c>
      <c r="J225">
        <v>141.19999999999999</v>
      </c>
      <c r="K225">
        <v>120.7</v>
      </c>
      <c r="L225">
        <v>110.4</v>
      </c>
      <c r="M225">
        <v>140.69999999999999</v>
      </c>
      <c r="N225">
        <v>128.5</v>
      </c>
      <c r="O225">
        <v>153.9</v>
      </c>
      <c r="P225">
        <v>139.6</v>
      </c>
      <c r="Q225">
        <v>165.3</v>
      </c>
      <c r="R225">
        <v>143.5</v>
      </c>
      <c r="S225">
        <v>131.19999999999999</v>
      </c>
      <c r="T225">
        <v>141.6</v>
      </c>
      <c r="U225" t="s">
        <v>118</v>
      </c>
      <c r="V225">
        <v>128.80000000000001</v>
      </c>
      <c r="W225">
        <v>136.80000000000001</v>
      </c>
      <c r="X225">
        <v>139.19999999999999</v>
      </c>
      <c r="Y225">
        <v>119.9</v>
      </c>
      <c r="Z225">
        <v>133</v>
      </c>
      <c r="AA225">
        <v>146.69999999999999</v>
      </c>
      <c r="AB225">
        <v>132.5</v>
      </c>
      <c r="AC225">
        <v>132.80000000000001</v>
      </c>
      <c r="AD225">
        <v>139.5</v>
      </c>
    </row>
    <row r="226" spans="1:30">
      <c r="A226" t="s">
        <v>35</v>
      </c>
      <c r="B226">
        <v>2019</v>
      </c>
      <c r="C226" t="s">
        <v>38</v>
      </c>
      <c r="D226">
        <v>137.80000000000001</v>
      </c>
      <c r="E226">
        <v>153</v>
      </c>
      <c r="F226">
        <v>140.30000000000001</v>
      </c>
      <c r="G226">
        <v>142.30000000000001</v>
      </c>
      <c r="H226">
        <v>122</v>
      </c>
      <c r="I226">
        <v>137.6</v>
      </c>
      <c r="J226">
        <v>132.6</v>
      </c>
      <c r="K226">
        <v>121.8</v>
      </c>
      <c r="L226">
        <v>109</v>
      </c>
      <c r="M226">
        <v>139.5</v>
      </c>
      <c r="N226">
        <v>133.69999999999999</v>
      </c>
      <c r="O226">
        <v>155.19999999999999</v>
      </c>
      <c r="P226">
        <v>138.1</v>
      </c>
      <c r="Q226">
        <v>163.5</v>
      </c>
      <c r="R226">
        <v>147.9</v>
      </c>
      <c r="S226">
        <v>139.9</v>
      </c>
      <c r="T226">
        <v>146.69999999999999</v>
      </c>
      <c r="U226" t="s">
        <v>118</v>
      </c>
      <c r="V226">
        <v>139.69999999999999</v>
      </c>
      <c r="W226">
        <v>143.80000000000001</v>
      </c>
      <c r="X226">
        <v>146.19999999999999</v>
      </c>
      <c r="Y226">
        <v>124.6</v>
      </c>
      <c r="Z226">
        <v>137.69999999999999</v>
      </c>
      <c r="AA226">
        <v>150.30000000000001</v>
      </c>
      <c r="AB226">
        <v>133.4</v>
      </c>
      <c r="AC226">
        <v>137.69999999999999</v>
      </c>
      <c r="AD226">
        <v>140.4</v>
      </c>
    </row>
    <row r="227" spans="1:30">
      <c r="A227" t="s">
        <v>30</v>
      </c>
      <c r="B227">
        <v>2019</v>
      </c>
      <c r="C227" t="s">
        <v>41</v>
      </c>
      <c r="D227">
        <v>137.4</v>
      </c>
      <c r="E227">
        <v>159.5</v>
      </c>
      <c r="F227">
        <v>134.5</v>
      </c>
      <c r="G227">
        <v>142.6</v>
      </c>
      <c r="H227">
        <v>124</v>
      </c>
      <c r="I227">
        <v>143.69999999999999</v>
      </c>
      <c r="J227">
        <v>133.4</v>
      </c>
      <c r="K227">
        <v>125.1</v>
      </c>
      <c r="L227">
        <v>109.3</v>
      </c>
      <c r="M227">
        <v>139.30000000000001</v>
      </c>
      <c r="N227">
        <v>137.69999999999999</v>
      </c>
      <c r="O227">
        <v>156.4</v>
      </c>
      <c r="P227">
        <v>139.19999999999999</v>
      </c>
      <c r="Q227">
        <v>163.30000000000001</v>
      </c>
      <c r="R227">
        <v>151.30000000000001</v>
      </c>
      <c r="S227">
        <v>146.6</v>
      </c>
      <c r="T227">
        <v>150.69999999999999</v>
      </c>
      <c r="U227" t="s">
        <v>32</v>
      </c>
      <c r="V227">
        <v>146.9</v>
      </c>
      <c r="W227">
        <v>149.5</v>
      </c>
      <c r="X227">
        <v>151.30000000000001</v>
      </c>
      <c r="Y227">
        <v>130.19999999999999</v>
      </c>
      <c r="Z227">
        <v>145.9</v>
      </c>
      <c r="AA227">
        <v>156.69999999999999</v>
      </c>
      <c r="AB227">
        <v>133.9</v>
      </c>
      <c r="AC227">
        <v>142.9</v>
      </c>
      <c r="AD227">
        <v>142.4</v>
      </c>
    </row>
    <row r="228" spans="1:30">
      <c r="A228" t="s">
        <v>33</v>
      </c>
      <c r="B228">
        <v>2019</v>
      </c>
      <c r="C228" t="s">
        <v>41</v>
      </c>
      <c r="D228">
        <v>140.4</v>
      </c>
      <c r="E228">
        <v>156.69999999999999</v>
      </c>
      <c r="F228">
        <v>138.30000000000001</v>
      </c>
      <c r="G228">
        <v>142.4</v>
      </c>
      <c r="H228">
        <v>118.6</v>
      </c>
      <c r="I228">
        <v>149.69999999999999</v>
      </c>
      <c r="J228">
        <v>161.6</v>
      </c>
      <c r="K228">
        <v>124.4</v>
      </c>
      <c r="L228">
        <v>111.2</v>
      </c>
      <c r="M228">
        <v>141</v>
      </c>
      <c r="N228">
        <v>128.9</v>
      </c>
      <c r="O228">
        <v>154.5</v>
      </c>
      <c r="P228">
        <v>143.80000000000001</v>
      </c>
      <c r="Q228">
        <v>166.2</v>
      </c>
      <c r="R228">
        <v>144</v>
      </c>
      <c r="S228">
        <v>131.69999999999999</v>
      </c>
      <c r="T228">
        <v>142.19999999999999</v>
      </c>
      <c r="U228" t="s">
        <v>119</v>
      </c>
      <c r="V228">
        <v>129.4</v>
      </c>
      <c r="W228">
        <v>137.19999999999999</v>
      </c>
      <c r="X228">
        <v>139.80000000000001</v>
      </c>
      <c r="Y228">
        <v>120.1</v>
      </c>
      <c r="Z228">
        <v>134</v>
      </c>
      <c r="AA228">
        <v>148</v>
      </c>
      <c r="AB228">
        <v>132.6</v>
      </c>
      <c r="AC228">
        <v>133.30000000000001</v>
      </c>
      <c r="AD228">
        <v>141.5</v>
      </c>
    </row>
    <row r="229" spans="1:30">
      <c r="A229" t="s">
        <v>35</v>
      </c>
      <c r="B229">
        <v>2019</v>
      </c>
      <c r="C229" t="s">
        <v>41</v>
      </c>
      <c r="D229">
        <v>138.30000000000001</v>
      </c>
      <c r="E229">
        <v>158.5</v>
      </c>
      <c r="F229">
        <v>136</v>
      </c>
      <c r="G229">
        <v>142.5</v>
      </c>
      <c r="H229">
        <v>122</v>
      </c>
      <c r="I229">
        <v>146.5</v>
      </c>
      <c r="J229">
        <v>143</v>
      </c>
      <c r="K229">
        <v>124.9</v>
      </c>
      <c r="L229">
        <v>109.9</v>
      </c>
      <c r="M229">
        <v>139.9</v>
      </c>
      <c r="N229">
        <v>134</v>
      </c>
      <c r="O229">
        <v>155.5</v>
      </c>
      <c r="P229">
        <v>140.9</v>
      </c>
      <c r="Q229">
        <v>164.1</v>
      </c>
      <c r="R229">
        <v>148.4</v>
      </c>
      <c r="S229">
        <v>140.4</v>
      </c>
      <c r="T229">
        <v>147.30000000000001</v>
      </c>
      <c r="U229" t="s">
        <v>119</v>
      </c>
      <c r="V229">
        <v>140.30000000000001</v>
      </c>
      <c r="W229">
        <v>143.69999999999999</v>
      </c>
      <c r="X229">
        <v>146.9</v>
      </c>
      <c r="Y229">
        <v>124.9</v>
      </c>
      <c r="Z229">
        <v>139.19999999999999</v>
      </c>
      <c r="AA229">
        <v>151.6</v>
      </c>
      <c r="AB229">
        <v>133.4</v>
      </c>
      <c r="AC229">
        <v>138.19999999999999</v>
      </c>
      <c r="AD229">
        <v>142</v>
      </c>
    </row>
    <row r="230" spans="1:30">
      <c r="A230" t="s">
        <v>30</v>
      </c>
      <c r="B230">
        <v>2019</v>
      </c>
      <c r="C230" t="s">
        <v>42</v>
      </c>
      <c r="D230">
        <v>137.80000000000001</v>
      </c>
      <c r="E230">
        <v>163.5</v>
      </c>
      <c r="F230">
        <v>136.19999999999999</v>
      </c>
      <c r="G230">
        <v>143.19999999999999</v>
      </c>
      <c r="H230">
        <v>124.3</v>
      </c>
      <c r="I230">
        <v>143.30000000000001</v>
      </c>
      <c r="J230">
        <v>140.6</v>
      </c>
      <c r="K230">
        <v>128.69999999999999</v>
      </c>
      <c r="L230">
        <v>110.6</v>
      </c>
      <c r="M230">
        <v>140.4</v>
      </c>
      <c r="N230">
        <v>138</v>
      </c>
      <c r="O230">
        <v>156.6</v>
      </c>
      <c r="P230">
        <v>141</v>
      </c>
      <c r="Q230">
        <v>164.2</v>
      </c>
      <c r="R230">
        <v>151.4</v>
      </c>
      <c r="S230">
        <v>146.5</v>
      </c>
      <c r="T230">
        <v>150.69999999999999</v>
      </c>
      <c r="U230" t="s">
        <v>32</v>
      </c>
      <c r="V230">
        <v>147.80000000000001</v>
      </c>
      <c r="W230">
        <v>149.6</v>
      </c>
      <c r="X230">
        <v>151.69999999999999</v>
      </c>
      <c r="Y230">
        <v>130.19999999999999</v>
      </c>
      <c r="Z230">
        <v>146.4</v>
      </c>
      <c r="AA230">
        <v>157.69999999999999</v>
      </c>
      <c r="AB230">
        <v>134.80000000000001</v>
      </c>
      <c r="AC230">
        <v>143.30000000000001</v>
      </c>
      <c r="AD230">
        <v>143.6</v>
      </c>
    </row>
    <row r="231" spans="1:30">
      <c r="A231" t="s">
        <v>33</v>
      </c>
      <c r="B231">
        <v>2019</v>
      </c>
      <c r="C231" t="s">
        <v>42</v>
      </c>
      <c r="D231">
        <v>140.69999999999999</v>
      </c>
      <c r="E231">
        <v>159.6</v>
      </c>
      <c r="F231">
        <v>140.4</v>
      </c>
      <c r="G231">
        <v>143.4</v>
      </c>
      <c r="H231">
        <v>118.6</v>
      </c>
      <c r="I231">
        <v>150.9</v>
      </c>
      <c r="J231">
        <v>169.8</v>
      </c>
      <c r="K231">
        <v>127.4</v>
      </c>
      <c r="L231">
        <v>111.8</v>
      </c>
      <c r="M231">
        <v>141</v>
      </c>
      <c r="N231">
        <v>129</v>
      </c>
      <c r="O231">
        <v>155.1</v>
      </c>
      <c r="P231">
        <v>145.6</v>
      </c>
      <c r="Q231">
        <v>166.7</v>
      </c>
      <c r="R231">
        <v>144.30000000000001</v>
      </c>
      <c r="S231">
        <v>131.69999999999999</v>
      </c>
      <c r="T231">
        <v>142.4</v>
      </c>
      <c r="U231" t="s">
        <v>120</v>
      </c>
      <c r="V231">
        <v>130.5</v>
      </c>
      <c r="W231">
        <v>137.4</v>
      </c>
      <c r="X231">
        <v>140.30000000000001</v>
      </c>
      <c r="Y231">
        <v>119.6</v>
      </c>
      <c r="Z231">
        <v>134.30000000000001</v>
      </c>
      <c r="AA231">
        <v>148.9</v>
      </c>
      <c r="AB231">
        <v>133.69999999999999</v>
      </c>
      <c r="AC231">
        <v>133.6</v>
      </c>
      <c r="AD231">
        <v>142.1</v>
      </c>
    </row>
    <row r="232" spans="1:30">
      <c r="A232" t="s">
        <v>35</v>
      </c>
      <c r="B232">
        <v>2019</v>
      </c>
      <c r="C232" t="s">
        <v>42</v>
      </c>
      <c r="D232">
        <v>138.69999999999999</v>
      </c>
      <c r="E232">
        <v>162.1</v>
      </c>
      <c r="F232">
        <v>137.80000000000001</v>
      </c>
      <c r="G232">
        <v>143.30000000000001</v>
      </c>
      <c r="H232">
        <v>122.2</v>
      </c>
      <c r="I232">
        <v>146.80000000000001</v>
      </c>
      <c r="J232">
        <v>150.5</v>
      </c>
      <c r="K232">
        <v>128.30000000000001</v>
      </c>
      <c r="L232">
        <v>111</v>
      </c>
      <c r="M232">
        <v>140.6</v>
      </c>
      <c r="N232">
        <v>134.19999999999999</v>
      </c>
      <c r="O232">
        <v>155.9</v>
      </c>
      <c r="P232">
        <v>142.69999999999999</v>
      </c>
      <c r="Q232">
        <v>164.9</v>
      </c>
      <c r="R232">
        <v>148.6</v>
      </c>
      <c r="S232">
        <v>140.4</v>
      </c>
      <c r="T232">
        <v>147.4</v>
      </c>
      <c r="U232" t="s">
        <v>120</v>
      </c>
      <c r="V232">
        <v>141.19999999999999</v>
      </c>
      <c r="W232">
        <v>143.80000000000001</v>
      </c>
      <c r="X232">
        <v>147.4</v>
      </c>
      <c r="Y232">
        <v>124.6</v>
      </c>
      <c r="Z232">
        <v>139.6</v>
      </c>
      <c r="AA232">
        <v>152.5</v>
      </c>
      <c r="AB232">
        <v>134.30000000000001</v>
      </c>
      <c r="AC232">
        <v>138.6</v>
      </c>
      <c r="AD232">
        <v>142.9</v>
      </c>
    </row>
    <row r="233" spans="1:30">
      <c r="A233" t="s">
        <v>30</v>
      </c>
      <c r="B233">
        <v>2019</v>
      </c>
      <c r="C233" t="s">
        <v>44</v>
      </c>
      <c r="D233">
        <v>138.4</v>
      </c>
      <c r="E233">
        <v>164</v>
      </c>
      <c r="F233">
        <v>138.4</v>
      </c>
      <c r="G233">
        <v>143.9</v>
      </c>
      <c r="H233">
        <v>124.4</v>
      </c>
      <c r="I233">
        <v>146.4</v>
      </c>
      <c r="J233">
        <v>150.1</v>
      </c>
      <c r="K233">
        <v>130.6</v>
      </c>
      <c r="L233">
        <v>110.8</v>
      </c>
      <c r="M233">
        <v>141.69999999999999</v>
      </c>
      <c r="N233">
        <v>138.5</v>
      </c>
      <c r="O233">
        <v>156.69999999999999</v>
      </c>
      <c r="P233">
        <v>143</v>
      </c>
      <c r="Q233">
        <v>164.5</v>
      </c>
      <c r="R233">
        <v>151.6</v>
      </c>
      <c r="S233">
        <v>146.6</v>
      </c>
      <c r="T233">
        <v>150.9</v>
      </c>
      <c r="U233" t="s">
        <v>32</v>
      </c>
      <c r="V233">
        <v>146.80000000000001</v>
      </c>
      <c r="W233">
        <v>150</v>
      </c>
      <c r="X233">
        <v>152.19999999999999</v>
      </c>
      <c r="Y233">
        <v>131.19999999999999</v>
      </c>
      <c r="Z233">
        <v>147.5</v>
      </c>
      <c r="AA233">
        <v>159.1</v>
      </c>
      <c r="AB233">
        <v>136.1</v>
      </c>
      <c r="AC233">
        <v>144.19999999999999</v>
      </c>
      <c r="AD233">
        <v>144.9</v>
      </c>
    </row>
    <row r="234" spans="1:30">
      <c r="A234" t="s">
        <v>33</v>
      </c>
      <c r="B234">
        <v>2019</v>
      </c>
      <c r="C234" t="s">
        <v>44</v>
      </c>
      <c r="D234">
        <v>141.4</v>
      </c>
      <c r="E234">
        <v>160.19999999999999</v>
      </c>
      <c r="F234">
        <v>142.5</v>
      </c>
      <c r="G234">
        <v>144.1</v>
      </c>
      <c r="H234">
        <v>119.3</v>
      </c>
      <c r="I234">
        <v>154.69999999999999</v>
      </c>
      <c r="J234">
        <v>180.1</v>
      </c>
      <c r="K234">
        <v>128.9</v>
      </c>
      <c r="L234">
        <v>111.8</v>
      </c>
      <c r="M234">
        <v>141.6</v>
      </c>
      <c r="N234">
        <v>129.5</v>
      </c>
      <c r="O234">
        <v>155.6</v>
      </c>
      <c r="P234">
        <v>147.69999999999999</v>
      </c>
      <c r="Q234">
        <v>167.2</v>
      </c>
      <c r="R234">
        <v>144.69999999999999</v>
      </c>
      <c r="S234">
        <v>131.9</v>
      </c>
      <c r="T234">
        <v>142.69999999999999</v>
      </c>
      <c r="U234" t="s">
        <v>121</v>
      </c>
      <c r="V234">
        <v>127</v>
      </c>
      <c r="W234">
        <v>137.69999999999999</v>
      </c>
      <c r="X234">
        <v>140.80000000000001</v>
      </c>
      <c r="Y234">
        <v>120.6</v>
      </c>
      <c r="Z234">
        <v>135</v>
      </c>
      <c r="AA234">
        <v>150.4</v>
      </c>
      <c r="AB234">
        <v>135.1</v>
      </c>
      <c r="AC234">
        <v>134.5</v>
      </c>
      <c r="AD234">
        <v>143.30000000000001</v>
      </c>
    </row>
    <row r="235" spans="1:30">
      <c r="A235" t="s">
        <v>35</v>
      </c>
      <c r="B235">
        <v>2019</v>
      </c>
      <c r="C235" t="s">
        <v>44</v>
      </c>
      <c r="D235">
        <v>139.30000000000001</v>
      </c>
      <c r="E235">
        <v>162.69999999999999</v>
      </c>
      <c r="F235">
        <v>140</v>
      </c>
      <c r="G235">
        <v>144</v>
      </c>
      <c r="H235">
        <v>122.5</v>
      </c>
      <c r="I235">
        <v>150.30000000000001</v>
      </c>
      <c r="J235">
        <v>160.30000000000001</v>
      </c>
      <c r="K235">
        <v>130</v>
      </c>
      <c r="L235">
        <v>111.1</v>
      </c>
      <c r="M235">
        <v>141.69999999999999</v>
      </c>
      <c r="N235">
        <v>134.69999999999999</v>
      </c>
      <c r="O235">
        <v>156.19999999999999</v>
      </c>
      <c r="P235">
        <v>144.69999999999999</v>
      </c>
      <c r="Q235">
        <v>165.2</v>
      </c>
      <c r="R235">
        <v>148.9</v>
      </c>
      <c r="S235">
        <v>140.5</v>
      </c>
      <c r="T235">
        <v>147.6</v>
      </c>
      <c r="U235" t="s">
        <v>121</v>
      </c>
      <c r="V235">
        <v>139.30000000000001</v>
      </c>
      <c r="W235">
        <v>144.19999999999999</v>
      </c>
      <c r="X235">
        <v>147.9</v>
      </c>
      <c r="Y235">
        <v>125.6</v>
      </c>
      <c r="Z235">
        <v>140.5</v>
      </c>
      <c r="AA235">
        <v>154</v>
      </c>
      <c r="AB235">
        <v>135.69999999999999</v>
      </c>
      <c r="AC235">
        <v>139.5</v>
      </c>
      <c r="AD235">
        <v>144.19999999999999</v>
      </c>
    </row>
    <row r="236" spans="1:30">
      <c r="A236" t="s">
        <v>30</v>
      </c>
      <c r="B236">
        <v>2019</v>
      </c>
      <c r="C236" t="s">
        <v>46</v>
      </c>
      <c r="D236">
        <v>139.19999999999999</v>
      </c>
      <c r="E236">
        <v>161.9</v>
      </c>
      <c r="F236">
        <v>137.1</v>
      </c>
      <c r="G236">
        <v>144.6</v>
      </c>
      <c r="H236">
        <v>124.7</v>
      </c>
      <c r="I236">
        <v>145.5</v>
      </c>
      <c r="J236">
        <v>156.19999999999999</v>
      </c>
      <c r="K236">
        <v>131.5</v>
      </c>
      <c r="L236">
        <v>111.7</v>
      </c>
      <c r="M236">
        <v>142.69999999999999</v>
      </c>
      <c r="N236">
        <v>138.5</v>
      </c>
      <c r="O236">
        <v>156.9</v>
      </c>
      <c r="P236">
        <v>144</v>
      </c>
      <c r="Q236">
        <v>165.1</v>
      </c>
      <c r="R236">
        <v>151.80000000000001</v>
      </c>
      <c r="S236">
        <v>146.6</v>
      </c>
      <c r="T236">
        <v>151.1</v>
      </c>
      <c r="U236" t="s">
        <v>32</v>
      </c>
      <c r="V236">
        <v>146.4</v>
      </c>
      <c r="W236">
        <v>150.19999999999999</v>
      </c>
      <c r="X236">
        <v>152.69999999999999</v>
      </c>
      <c r="Y236">
        <v>131.4</v>
      </c>
      <c r="Z236">
        <v>148</v>
      </c>
      <c r="AA236">
        <v>159.69999999999999</v>
      </c>
      <c r="AB236">
        <v>138.80000000000001</v>
      </c>
      <c r="AC236">
        <v>144.9</v>
      </c>
      <c r="AD236">
        <v>145.69999999999999</v>
      </c>
    </row>
    <row r="237" spans="1:30">
      <c r="A237" t="s">
        <v>33</v>
      </c>
      <c r="B237">
        <v>2019</v>
      </c>
      <c r="C237" t="s">
        <v>46</v>
      </c>
      <c r="D237">
        <v>142.1</v>
      </c>
      <c r="E237">
        <v>158.30000000000001</v>
      </c>
      <c r="F237">
        <v>140.80000000000001</v>
      </c>
      <c r="G237">
        <v>144.9</v>
      </c>
      <c r="H237">
        <v>119.9</v>
      </c>
      <c r="I237">
        <v>153.9</v>
      </c>
      <c r="J237">
        <v>189.1</v>
      </c>
      <c r="K237">
        <v>129.80000000000001</v>
      </c>
      <c r="L237">
        <v>112.7</v>
      </c>
      <c r="M237">
        <v>142.5</v>
      </c>
      <c r="N237">
        <v>129.80000000000001</v>
      </c>
      <c r="O237">
        <v>156.19999999999999</v>
      </c>
      <c r="P237">
        <v>149.1</v>
      </c>
      <c r="Q237">
        <v>167.9</v>
      </c>
      <c r="R237">
        <v>145</v>
      </c>
      <c r="S237">
        <v>132.19999999999999</v>
      </c>
      <c r="T237">
        <v>143</v>
      </c>
      <c r="U237" t="s">
        <v>122</v>
      </c>
      <c r="V237">
        <v>125.5</v>
      </c>
      <c r="W237">
        <v>138.1</v>
      </c>
      <c r="X237">
        <v>141.5</v>
      </c>
      <c r="Y237">
        <v>120.8</v>
      </c>
      <c r="Z237">
        <v>135.4</v>
      </c>
      <c r="AA237">
        <v>151.5</v>
      </c>
      <c r="AB237">
        <v>137.80000000000001</v>
      </c>
      <c r="AC237">
        <v>135.30000000000001</v>
      </c>
      <c r="AD237">
        <v>144.19999999999999</v>
      </c>
    </row>
    <row r="238" spans="1:30">
      <c r="A238" t="s">
        <v>35</v>
      </c>
      <c r="B238">
        <v>2019</v>
      </c>
      <c r="C238" t="s">
        <v>46</v>
      </c>
      <c r="D238">
        <v>140.1</v>
      </c>
      <c r="E238">
        <v>160.6</v>
      </c>
      <c r="F238">
        <v>138.5</v>
      </c>
      <c r="G238">
        <v>144.69999999999999</v>
      </c>
      <c r="H238">
        <v>122.9</v>
      </c>
      <c r="I238">
        <v>149.4</v>
      </c>
      <c r="J238">
        <v>167.4</v>
      </c>
      <c r="K238">
        <v>130.9</v>
      </c>
      <c r="L238">
        <v>112</v>
      </c>
      <c r="M238">
        <v>142.6</v>
      </c>
      <c r="N238">
        <v>134.9</v>
      </c>
      <c r="O238">
        <v>156.6</v>
      </c>
      <c r="P238">
        <v>145.9</v>
      </c>
      <c r="Q238">
        <v>165.8</v>
      </c>
      <c r="R238">
        <v>149.1</v>
      </c>
      <c r="S238">
        <v>140.6</v>
      </c>
      <c r="T238">
        <v>147.9</v>
      </c>
      <c r="U238" t="s">
        <v>122</v>
      </c>
      <c r="V238">
        <v>138.5</v>
      </c>
      <c r="W238">
        <v>144.5</v>
      </c>
      <c r="X238">
        <v>148.5</v>
      </c>
      <c r="Y238">
        <v>125.8</v>
      </c>
      <c r="Z238">
        <v>140.9</v>
      </c>
      <c r="AA238">
        <v>154.9</v>
      </c>
      <c r="AB238">
        <v>138.4</v>
      </c>
      <c r="AC238">
        <v>140.19999999999999</v>
      </c>
      <c r="AD238">
        <v>145</v>
      </c>
    </row>
    <row r="239" spans="1:30">
      <c r="A239" t="s">
        <v>30</v>
      </c>
      <c r="B239">
        <v>2019</v>
      </c>
      <c r="C239" t="s">
        <v>48</v>
      </c>
      <c r="D239">
        <v>140.1</v>
      </c>
      <c r="E239">
        <v>161.9</v>
      </c>
      <c r="F239">
        <v>138.30000000000001</v>
      </c>
      <c r="G239">
        <v>145.69999999999999</v>
      </c>
      <c r="H239">
        <v>125.1</v>
      </c>
      <c r="I239">
        <v>143.80000000000001</v>
      </c>
      <c r="J239">
        <v>163.4</v>
      </c>
      <c r="K239">
        <v>132.19999999999999</v>
      </c>
      <c r="L239">
        <v>112.8</v>
      </c>
      <c r="M239">
        <v>144.19999999999999</v>
      </c>
      <c r="N239">
        <v>138.5</v>
      </c>
      <c r="O239">
        <v>157.19999999999999</v>
      </c>
      <c r="P239">
        <v>145.5</v>
      </c>
      <c r="Q239">
        <v>165.7</v>
      </c>
      <c r="R239">
        <v>151.69999999999999</v>
      </c>
      <c r="S239">
        <v>146.6</v>
      </c>
      <c r="T239">
        <v>151</v>
      </c>
      <c r="U239" t="s">
        <v>32</v>
      </c>
      <c r="V239">
        <v>146.9</v>
      </c>
      <c r="W239">
        <v>150.30000000000001</v>
      </c>
      <c r="X239">
        <v>153.4</v>
      </c>
      <c r="Y239">
        <v>131.6</v>
      </c>
      <c r="Z239">
        <v>148.30000000000001</v>
      </c>
      <c r="AA239">
        <v>160.19999999999999</v>
      </c>
      <c r="AB239">
        <v>140.19999999999999</v>
      </c>
      <c r="AC239">
        <v>145.4</v>
      </c>
      <c r="AD239">
        <v>146.69999999999999</v>
      </c>
    </row>
    <row r="240" spans="1:30">
      <c r="A240" t="s">
        <v>33</v>
      </c>
      <c r="B240">
        <v>2019</v>
      </c>
      <c r="C240" t="s">
        <v>48</v>
      </c>
      <c r="D240">
        <v>142.69999999999999</v>
      </c>
      <c r="E240">
        <v>158.69999999999999</v>
      </c>
      <c r="F240">
        <v>141.6</v>
      </c>
      <c r="G240">
        <v>144.9</v>
      </c>
      <c r="H240">
        <v>120.8</v>
      </c>
      <c r="I240">
        <v>149.80000000000001</v>
      </c>
      <c r="J240">
        <v>192.4</v>
      </c>
      <c r="K240">
        <v>130.30000000000001</v>
      </c>
      <c r="L240">
        <v>114</v>
      </c>
      <c r="M240">
        <v>143.80000000000001</v>
      </c>
      <c r="N240">
        <v>130</v>
      </c>
      <c r="O240">
        <v>156.4</v>
      </c>
      <c r="P240">
        <v>149.5</v>
      </c>
      <c r="Q240">
        <v>168.6</v>
      </c>
      <c r="R240">
        <v>145.30000000000001</v>
      </c>
      <c r="S240">
        <v>132.19999999999999</v>
      </c>
      <c r="T240">
        <v>143.30000000000001</v>
      </c>
      <c r="U240" t="s">
        <v>123</v>
      </c>
      <c r="V240">
        <v>126.6</v>
      </c>
      <c r="W240">
        <v>138.30000000000001</v>
      </c>
      <c r="X240">
        <v>141.9</v>
      </c>
      <c r="Y240">
        <v>121.2</v>
      </c>
      <c r="Z240">
        <v>135.9</v>
      </c>
      <c r="AA240">
        <v>151.6</v>
      </c>
      <c r="AB240">
        <v>139</v>
      </c>
      <c r="AC240">
        <v>135.69999999999999</v>
      </c>
      <c r="AD240">
        <v>144.69999999999999</v>
      </c>
    </row>
    <row r="241" spans="1:30">
      <c r="A241" t="s">
        <v>35</v>
      </c>
      <c r="B241">
        <v>2019</v>
      </c>
      <c r="C241" t="s">
        <v>48</v>
      </c>
      <c r="D241">
        <v>140.9</v>
      </c>
      <c r="E241">
        <v>160.80000000000001</v>
      </c>
      <c r="F241">
        <v>139.6</v>
      </c>
      <c r="G241">
        <v>145.4</v>
      </c>
      <c r="H241">
        <v>123.5</v>
      </c>
      <c r="I241">
        <v>146.6</v>
      </c>
      <c r="J241">
        <v>173.2</v>
      </c>
      <c r="K241">
        <v>131.6</v>
      </c>
      <c r="L241">
        <v>113.2</v>
      </c>
      <c r="M241">
        <v>144.1</v>
      </c>
      <c r="N241">
        <v>135</v>
      </c>
      <c r="O241">
        <v>156.80000000000001</v>
      </c>
      <c r="P241">
        <v>147</v>
      </c>
      <c r="Q241">
        <v>166.5</v>
      </c>
      <c r="R241">
        <v>149.19999999999999</v>
      </c>
      <c r="S241">
        <v>140.6</v>
      </c>
      <c r="T241">
        <v>147.9</v>
      </c>
      <c r="U241" t="s">
        <v>123</v>
      </c>
      <c r="V241">
        <v>139.19999999999999</v>
      </c>
      <c r="W241">
        <v>144.6</v>
      </c>
      <c r="X241">
        <v>149</v>
      </c>
      <c r="Y241">
        <v>126.1</v>
      </c>
      <c r="Z241">
        <v>141.30000000000001</v>
      </c>
      <c r="AA241">
        <v>155.19999999999999</v>
      </c>
      <c r="AB241">
        <v>139.69999999999999</v>
      </c>
      <c r="AC241">
        <v>140.69999999999999</v>
      </c>
      <c r="AD241">
        <v>145.80000000000001</v>
      </c>
    </row>
    <row r="242" spans="1:30">
      <c r="A242" t="s">
        <v>30</v>
      </c>
      <c r="B242">
        <v>2019</v>
      </c>
      <c r="C242" t="s">
        <v>50</v>
      </c>
      <c r="D242">
        <v>141</v>
      </c>
      <c r="E242">
        <v>161.6</v>
      </c>
      <c r="F242">
        <v>141.19999999999999</v>
      </c>
      <c r="G242">
        <v>146.5</v>
      </c>
      <c r="H242">
        <v>125.6</v>
      </c>
      <c r="I242">
        <v>145.69999999999999</v>
      </c>
      <c r="J242">
        <v>178.8</v>
      </c>
      <c r="K242">
        <v>133.1</v>
      </c>
      <c r="L242">
        <v>113.6</v>
      </c>
      <c r="M242">
        <v>145.5</v>
      </c>
      <c r="N242">
        <v>138.6</v>
      </c>
      <c r="O242">
        <v>157.4</v>
      </c>
      <c r="P242">
        <v>148.30000000000001</v>
      </c>
      <c r="Q242">
        <v>166.3</v>
      </c>
      <c r="R242">
        <v>151.69999999999999</v>
      </c>
      <c r="S242">
        <v>146.69999999999999</v>
      </c>
      <c r="T242">
        <v>151</v>
      </c>
      <c r="U242" t="s">
        <v>32</v>
      </c>
      <c r="V242">
        <v>147.69999999999999</v>
      </c>
      <c r="W242">
        <v>150.6</v>
      </c>
      <c r="X242">
        <v>153.69999999999999</v>
      </c>
      <c r="Y242">
        <v>131.69999999999999</v>
      </c>
      <c r="Z242">
        <v>148.69999999999999</v>
      </c>
      <c r="AA242">
        <v>160.69999999999999</v>
      </c>
      <c r="AB242">
        <v>140.30000000000001</v>
      </c>
      <c r="AC242">
        <v>145.69999999999999</v>
      </c>
      <c r="AD242">
        <v>148.30000000000001</v>
      </c>
    </row>
    <row r="243" spans="1:30">
      <c r="A243" t="s">
        <v>33</v>
      </c>
      <c r="B243">
        <v>2019</v>
      </c>
      <c r="C243" t="s">
        <v>50</v>
      </c>
      <c r="D243">
        <v>143.5</v>
      </c>
      <c r="E243">
        <v>159.80000000000001</v>
      </c>
      <c r="F243">
        <v>144.69999999999999</v>
      </c>
      <c r="G243">
        <v>145.6</v>
      </c>
      <c r="H243">
        <v>121.1</v>
      </c>
      <c r="I243">
        <v>150.6</v>
      </c>
      <c r="J243">
        <v>207.2</v>
      </c>
      <c r="K243">
        <v>131.19999999999999</v>
      </c>
      <c r="L243">
        <v>114.8</v>
      </c>
      <c r="M243">
        <v>145.19999999999999</v>
      </c>
      <c r="N243">
        <v>130.19999999999999</v>
      </c>
      <c r="O243">
        <v>156.80000000000001</v>
      </c>
      <c r="P243">
        <v>151.9</v>
      </c>
      <c r="Q243">
        <v>169.3</v>
      </c>
      <c r="R243">
        <v>145.9</v>
      </c>
      <c r="S243">
        <v>132.4</v>
      </c>
      <c r="T243">
        <v>143.9</v>
      </c>
      <c r="U243" t="s">
        <v>124</v>
      </c>
      <c r="V243">
        <v>128.9</v>
      </c>
      <c r="W243">
        <v>138.69999999999999</v>
      </c>
      <c r="X243">
        <v>142.4</v>
      </c>
      <c r="Y243">
        <v>121.5</v>
      </c>
      <c r="Z243">
        <v>136.19999999999999</v>
      </c>
      <c r="AA243">
        <v>151.69999999999999</v>
      </c>
      <c r="AB243">
        <v>139.5</v>
      </c>
      <c r="AC243">
        <v>136</v>
      </c>
      <c r="AD243">
        <v>146</v>
      </c>
    </row>
    <row r="244" spans="1:30">
      <c r="A244" t="s">
        <v>35</v>
      </c>
      <c r="B244">
        <v>2019</v>
      </c>
      <c r="C244" t="s">
        <v>50</v>
      </c>
      <c r="D244">
        <v>141.80000000000001</v>
      </c>
      <c r="E244">
        <v>161</v>
      </c>
      <c r="F244">
        <v>142.6</v>
      </c>
      <c r="G244">
        <v>146.19999999999999</v>
      </c>
      <c r="H244">
        <v>123.9</v>
      </c>
      <c r="I244">
        <v>148</v>
      </c>
      <c r="J244">
        <v>188.4</v>
      </c>
      <c r="K244">
        <v>132.5</v>
      </c>
      <c r="L244">
        <v>114</v>
      </c>
      <c r="M244">
        <v>145.4</v>
      </c>
      <c r="N244">
        <v>135.1</v>
      </c>
      <c r="O244">
        <v>157.1</v>
      </c>
      <c r="P244">
        <v>149.6</v>
      </c>
      <c r="Q244">
        <v>167.1</v>
      </c>
      <c r="R244">
        <v>149.4</v>
      </c>
      <c r="S244">
        <v>140.80000000000001</v>
      </c>
      <c r="T244">
        <v>148.19999999999999</v>
      </c>
      <c r="U244" t="s">
        <v>124</v>
      </c>
      <c r="V244">
        <v>140.6</v>
      </c>
      <c r="W244">
        <v>145</v>
      </c>
      <c r="X244">
        <v>149.4</v>
      </c>
      <c r="Y244">
        <v>126.3</v>
      </c>
      <c r="Z244">
        <v>141.69999999999999</v>
      </c>
      <c r="AA244">
        <v>155.4</v>
      </c>
      <c r="AB244">
        <v>140</v>
      </c>
      <c r="AC244">
        <v>141</v>
      </c>
      <c r="AD244">
        <v>147.19999999999999</v>
      </c>
    </row>
    <row r="245" spans="1:30">
      <c r="A245" t="s">
        <v>30</v>
      </c>
      <c r="B245">
        <v>2019</v>
      </c>
      <c r="C245" t="s">
        <v>53</v>
      </c>
      <c r="D245">
        <v>141.80000000000001</v>
      </c>
      <c r="E245">
        <v>163.69999999999999</v>
      </c>
      <c r="F245">
        <v>143.80000000000001</v>
      </c>
      <c r="G245">
        <v>147.1</v>
      </c>
      <c r="H245">
        <v>126</v>
      </c>
      <c r="I245">
        <v>146.19999999999999</v>
      </c>
      <c r="J245">
        <v>191.4</v>
      </c>
      <c r="K245">
        <v>136.19999999999999</v>
      </c>
      <c r="L245">
        <v>113.8</v>
      </c>
      <c r="M245">
        <v>147.30000000000001</v>
      </c>
      <c r="N245">
        <v>138.69999999999999</v>
      </c>
      <c r="O245">
        <v>157.69999999999999</v>
      </c>
      <c r="P245">
        <v>150.9</v>
      </c>
      <c r="Q245">
        <v>167.2</v>
      </c>
      <c r="R245">
        <v>152.30000000000001</v>
      </c>
      <c r="S245">
        <v>147</v>
      </c>
      <c r="T245">
        <v>151.5</v>
      </c>
      <c r="U245" t="s">
        <v>32</v>
      </c>
      <c r="V245">
        <v>148.4</v>
      </c>
      <c r="W245">
        <v>150.9</v>
      </c>
      <c r="X245">
        <v>154.30000000000001</v>
      </c>
      <c r="Y245">
        <v>132.1</v>
      </c>
      <c r="Z245">
        <v>149.1</v>
      </c>
      <c r="AA245">
        <v>160.80000000000001</v>
      </c>
      <c r="AB245">
        <v>140.6</v>
      </c>
      <c r="AC245">
        <v>146.1</v>
      </c>
      <c r="AD245">
        <v>149.9</v>
      </c>
    </row>
    <row r="246" spans="1:30">
      <c r="A246" t="s">
        <v>33</v>
      </c>
      <c r="B246">
        <v>2019</v>
      </c>
      <c r="C246" t="s">
        <v>53</v>
      </c>
      <c r="D246">
        <v>144.1</v>
      </c>
      <c r="E246">
        <v>162.4</v>
      </c>
      <c r="F246">
        <v>148.4</v>
      </c>
      <c r="G246">
        <v>145.9</v>
      </c>
      <c r="H246">
        <v>121.5</v>
      </c>
      <c r="I246">
        <v>148.80000000000001</v>
      </c>
      <c r="J246">
        <v>215.7</v>
      </c>
      <c r="K246">
        <v>134.6</v>
      </c>
      <c r="L246">
        <v>115</v>
      </c>
      <c r="M246">
        <v>146.30000000000001</v>
      </c>
      <c r="N246">
        <v>130.5</v>
      </c>
      <c r="O246">
        <v>157.19999999999999</v>
      </c>
      <c r="P246">
        <v>153.6</v>
      </c>
      <c r="Q246">
        <v>169.9</v>
      </c>
      <c r="R246">
        <v>146.30000000000001</v>
      </c>
      <c r="S246">
        <v>132.6</v>
      </c>
      <c r="T246">
        <v>144.19999999999999</v>
      </c>
      <c r="U246" t="s">
        <v>125</v>
      </c>
      <c r="V246">
        <v>132.19999999999999</v>
      </c>
      <c r="W246">
        <v>139.1</v>
      </c>
      <c r="X246">
        <v>142.80000000000001</v>
      </c>
      <c r="Y246">
        <v>121.7</v>
      </c>
      <c r="Z246">
        <v>136.69999999999999</v>
      </c>
      <c r="AA246">
        <v>151.80000000000001</v>
      </c>
      <c r="AB246">
        <v>139.80000000000001</v>
      </c>
      <c r="AC246">
        <v>136.30000000000001</v>
      </c>
      <c r="AD246">
        <v>147</v>
      </c>
    </row>
    <row r="247" spans="1:30">
      <c r="A247" t="s">
        <v>35</v>
      </c>
      <c r="B247">
        <v>2019</v>
      </c>
      <c r="C247" t="s">
        <v>53</v>
      </c>
      <c r="D247">
        <v>142.5</v>
      </c>
      <c r="E247">
        <v>163.19999999999999</v>
      </c>
      <c r="F247">
        <v>145.6</v>
      </c>
      <c r="G247">
        <v>146.69999999999999</v>
      </c>
      <c r="H247">
        <v>124.3</v>
      </c>
      <c r="I247">
        <v>147.4</v>
      </c>
      <c r="J247">
        <v>199.6</v>
      </c>
      <c r="K247">
        <v>135.69999999999999</v>
      </c>
      <c r="L247">
        <v>114.2</v>
      </c>
      <c r="M247">
        <v>147</v>
      </c>
      <c r="N247">
        <v>135.30000000000001</v>
      </c>
      <c r="O247">
        <v>157.5</v>
      </c>
      <c r="P247">
        <v>151.9</v>
      </c>
      <c r="Q247">
        <v>167.9</v>
      </c>
      <c r="R247">
        <v>149.9</v>
      </c>
      <c r="S247">
        <v>141</v>
      </c>
      <c r="T247">
        <v>148.6</v>
      </c>
      <c r="U247" t="s">
        <v>125</v>
      </c>
      <c r="V247">
        <v>142.30000000000001</v>
      </c>
      <c r="W247">
        <v>145.30000000000001</v>
      </c>
      <c r="X247">
        <v>149.9</v>
      </c>
      <c r="Y247">
        <v>126.6</v>
      </c>
      <c r="Z247">
        <v>142.1</v>
      </c>
      <c r="AA247">
        <v>155.5</v>
      </c>
      <c r="AB247">
        <v>140.30000000000001</v>
      </c>
      <c r="AC247">
        <v>141.30000000000001</v>
      </c>
      <c r="AD247">
        <v>148.6</v>
      </c>
    </row>
    <row r="248" spans="1:30">
      <c r="A248" t="s">
        <v>30</v>
      </c>
      <c r="B248">
        <v>2019</v>
      </c>
      <c r="C248" t="s">
        <v>55</v>
      </c>
      <c r="D248">
        <v>142.80000000000001</v>
      </c>
      <c r="E248">
        <v>165.3</v>
      </c>
      <c r="F248">
        <v>149.5</v>
      </c>
      <c r="G248">
        <v>148.69999999999999</v>
      </c>
      <c r="H248">
        <v>127.5</v>
      </c>
      <c r="I248">
        <v>144.30000000000001</v>
      </c>
      <c r="J248">
        <v>209.5</v>
      </c>
      <c r="K248">
        <v>138.80000000000001</v>
      </c>
      <c r="L248">
        <v>113.6</v>
      </c>
      <c r="M248">
        <v>149.1</v>
      </c>
      <c r="N248">
        <v>139.30000000000001</v>
      </c>
      <c r="O248">
        <v>158.30000000000001</v>
      </c>
      <c r="P248">
        <v>154.30000000000001</v>
      </c>
      <c r="Q248">
        <v>167.8</v>
      </c>
      <c r="R248">
        <v>152.6</v>
      </c>
      <c r="S248">
        <v>147.30000000000001</v>
      </c>
      <c r="T248">
        <v>151.9</v>
      </c>
      <c r="U248" t="s">
        <v>32</v>
      </c>
      <c r="V248">
        <v>149.9</v>
      </c>
      <c r="W248">
        <v>151.19999999999999</v>
      </c>
      <c r="X248">
        <v>154.80000000000001</v>
      </c>
      <c r="Y248">
        <v>135</v>
      </c>
      <c r="Z248">
        <v>149.5</v>
      </c>
      <c r="AA248">
        <v>161.1</v>
      </c>
      <c r="AB248">
        <v>140.6</v>
      </c>
      <c r="AC248">
        <v>147.1</v>
      </c>
      <c r="AD248">
        <v>152.30000000000001</v>
      </c>
    </row>
    <row r="249" spans="1:30">
      <c r="A249" t="s">
        <v>33</v>
      </c>
      <c r="B249">
        <v>2019</v>
      </c>
      <c r="C249" t="s">
        <v>55</v>
      </c>
      <c r="D249">
        <v>144.9</v>
      </c>
      <c r="E249">
        <v>164.5</v>
      </c>
      <c r="F249">
        <v>153.69999999999999</v>
      </c>
      <c r="G249">
        <v>147.5</v>
      </c>
      <c r="H249">
        <v>122.7</v>
      </c>
      <c r="I249">
        <v>147.19999999999999</v>
      </c>
      <c r="J249">
        <v>231.5</v>
      </c>
      <c r="K249">
        <v>137.19999999999999</v>
      </c>
      <c r="L249">
        <v>114.7</v>
      </c>
      <c r="M249">
        <v>148</v>
      </c>
      <c r="N249">
        <v>130.80000000000001</v>
      </c>
      <c r="O249">
        <v>157.69999999999999</v>
      </c>
      <c r="P249">
        <v>156.30000000000001</v>
      </c>
      <c r="Q249">
        <v>170.4</v>
      </c>
      <c r="R249">
        <v>146.80000000000001</v>
      </c>
      <c r="S249">
        <v>132.80000000000001</v>
      </c>
      <c r="T249">
        <v>144.6</v>
      </c>
      <c r="U249" t="s">
        <v>126</v>
      </c>
      <c r="V249">
        <v>133.6</v>
      </c>
      <c r="W249">
        <v>139.80000000000001</v>
      </c>
      <c r="X249">
        <v>143.19999999999999</v>
      </c>
      <c r="Y249">
        <v>125.2</v>
      </c>
      <c r="Z249">
        <v>136.80000000000001</v>
      </c>
      <c r="AA249">
        <v>151.9</v>
      </c>
      <c r="AB249">
        <v>140.19999999999999</v>
      </c>
      <c r="AC249">
        <v>137.69999999999999</v>
      </c>
      <c r="AD249">
        <v>148.30000000000001</v>
      </c>
    </row>
    <row r="250" spans="1:30">
      <c r="A250" t="s">
        <v>35</v>
      </c>
      <c r="B250">
        <v>2019</v>
      </c>
      <c r="C250" t="s">
        <v>55</v>
      </c>
      <c r="D250">
        <v>143.5</v>
      </c>
      <c r="E250">
        <v>165</v>
      </c>
      <c r="F250">
        <v>151.1</v>
      </c>
      <c r="G250">
        <v>148.30000000000001</v>
      </c>
      <c r="H250">
        <v>125.7</v>
      </c>
      <c r="I250">
        <v>145.69999999999999</v>
      </c>
      <c r="J250">
        <v>217</v>
      </c>
      <c r="K250">
        <v>138.30000000000001</v>
      </c>
      <c r="L250">
        <v>114</v>
      </c>
      <c r="M250">
        <v>148.69999999999999</v>
      </c>
      <c r="N250">
        <v>135.80000000000001</v>
      </c>
      <c r="O250">
        <v>158</v>
      </c>
      <c r="P250">
        <v>155</v>
      </c>
      <c r="Q250">
        <v>168.5</v>
      </c>
      <c r="R250">
        <v>150.30000000000001</v>
      </c>
      <c r="S250">
        <v>141.30000000000001</v>
      </c>
      <c r="T250">
        <v>149</v>
      </c>
      <c r="U250" t="s">
        <v>126</v>
      </c>
      <c r="V250">
        <v>143.69999999999999</v>
      </c>
      <c r="W250">
        <v>145.80000000000001</v>
      </c>
      <c r="X250">
        <v>150.4</v>
      </c>
      <c r="Y250">
        <v>129.80000000000001</v>
      </c>
      <c r="Z250">
        <v>142.30000000000001</v>
      </c>
      <c r="AA250">
        <v>155.69999999999999</v>
      </c>
      <c r="AB250">
        <v>140.4</v>
      </c>
      <c r="AC250">
        <v>142.5</v>
      </c>
      <c r="AD250">
        <v>150.4</v>
      </c>
    </row>
    <row r="251" spans="1:30">
      <c r="A251" t="s">
        <v>30</v>
      </c>
      <c r="B251">
        <v>2020</v>
      </c>
      <c r="C251" t="s">
        <v>31</v>
      </c>
      <c r="D251">
        <v>143.69999999999999</v>
      </c>
      <c r="E251">
        <v>167.3</v>
      </c>
      <c r="F251">
        <v>153.5</v>
      </c>
      <c r="G251">
        <v>150.5</v>
      </c>
      <c r="H251">
        <v>132</v>
      </c>
      <c r="I251">
        <v>142.19999999999999</v>
      </c>
      <c r="J251">
        <v>191.5</v>
      </c>
      <c r="K251">
        <v>141.1</v>
      </c>
      <c r="L251">
        <v>113.8</v>
      </c>
      <c r="M251">
        <v>151.6</v>
      </c>
      <c r="N251">
        <v>139.69999999999999</v>
      </c>
      <c r="O251">
        <v>158.69999999999999</v>
      </c>
      <c r="P251">
        <v>153</v>
      </c>
      <c r="Q251">
        <v>168.6</v>
      </c>
      <c r="R251">
        <v>152.80000000000001</v>
      </c>
      <c r="S251">
        <v>147.4</v>
      </c>
      <c r="T251">
        <v>152.1</v>
      </c>
      <c r="U251" t="s">
        <v>32</v>
      </c>
      <c r="V251">
        <v>150.4</v>
      </c>
      <c r="W251">
        <v>151.69999999999999</v>
      </c>
      <c r="X251">
        <v>155.69999999999999</v>
      </c>
      <c r="Y251">
        <v>136.30000000000001</v>
      </c>
      <c r="Z251">
        <v>150.1</v>
      </c>
      <c r="AA251">
        <v>161.69999999999999</v>
      </c>
      <c r="AB251">
        <v>142.5</v>
      </c>
      <c r="AC251">
        <v>148.1</v>
      </c>
      <c r="AD251">
        <v>151.9</v>
      </c>
    </row>
    <row r="252" spans="1:30">
      <c r="A252" t="s">
        <v>33</v>
      </c>
      <c r="B252">
        <v>2020</v>
      </c>
      <c r="C252" t="s">
        <v>31</v>
      </c>
      <c r="D252">
        <v>145.6</v>
      </c>
      <c r="E252">
        <v>167.6</v>
      </c>
      <c r="F252">
        <v>157</v>
      </c>
      <c r="G252">
        <v>149.30000000000001</v>
      </c>
      <c r="H252">
        <v>126.3</v>
      </c>
      <c r="I252">
        <v>144.4</v>
      </c>
      <c r="J252">
        <v>207.8</v>
      </c>
      <c r="K252">
        <v>139.1</v>
      </c>
      <c r="L252">
        <v>114.8</v>
      </c>
      <c r="M252">
        <v>149.5</v>
      </c>
      <c r="N252">
        <v>131.1</v>
      </c>
      <c r="O252">
        <v>158.5</v>
      </c>
      <c r="P252">
        <v>154.4</v>
      </c>
      <c r="Q252">
        <v>170.8</v>
      </c>
      <c r="R252">
        <v>147</v>
      </c>
      <c r="S252">
        <v>133.19999999999999</v>
      </c>
      <c r="T252">
        <v>144.9</v>
      </c>
      <c r="U252" t="s">
        <v>127</v>
      </c>
      <c r="V252">
        <v>135.1</v>
      </c>
      <c r="W252">
        <v>140.1</v>
      </c>
      <c r="X252">
        <v>143.80000000000001</v>
      </c>
      <c r="Y252">
        <v>126.1</v>
      </c>
      <c r="Z252">
        <v>137.19999999999999</v>
      </c>
      <c r="AA252">
        <v>152.1</v>
      </c>
      <c r="AB252">
        <v>142.1</v>
      </c>
      <c r="AC252">
        <v>138.4</v>
      </c>
      <c r="AD252">
        <v>148.19999999999999</v>
      </c>
    </row>
    <row r="253" spans="1:30">
      <c r="A253" t="s">
        <v>35</v>
      </c>
      <c r="B253">
        <v>2020</v>
      </c>
      <c r="C253" t="s">
        <v>31</v>
      </c>
      <c r="D253">
        <v>144.30000000000001</v>
      </c>
      <c r="E253">
        <v>167.4</v>
      </c>
      <c r="F253">
        <v>154.9</v>
      </c>
      <c r="G253">
        <v>150.1</v>
      </c>
      <c r="H253">
        <v>129.9</v>
      </c>
      <c r="I253">
        <v>143.19999999999999</v>
      </c>
      <c r="J253">
        <v>197</v>
      </c>
      <c r="K253">
        <v>140.4</v>
      </c>
      <c r="L253">
        <v>114.1</v>
      </c>
      <c r="M253">
        <v>150.9</v>
      </c>
      <c r="N253">
        <v>136.1</v>
      </c>
      <c r="O253">
        <v>158.6</v>
      </c>
      <c r="P253">
        <v>153.5</v>
      </c>
      <c r="Q253">
        <v>169.2</v>
      </c>
      <c r="R253">
        <v>150.5</v>
      </c>
      <c r="S253">
        <v>141.5</v>
      </c>
      <c r="T253">
        <v>149.19999999999999</v>
      </c>
      <c r="U253" t="s">
        <v>127</v>
      </c>
      <c r="V253">
        <v>144.6</v>
      </c>
      <c r="W253">
        <v>146.19999999999999</v>
      </c>
      <c r="X253">
        <v>151.19999999999999</v>
      </c>
      <c r="Y253">
        <v>130.9</v>
      </c>
      <c r="Z253">
        <v>142.80000000000001</v>
      </c>
      <c r="AA253">
        <v>156.1</v>
      </c>
      <c r="AB253">
        <v>142.30000000000001</v>
      </c>
      <c r="AC253">
        <v>143.4</v>
      </c>
      <c r="AD253">
        <v>150.19999999999999</v>
      </c>
    </row>
    <row r="254" spans="1:30">
      <c r="A254" t="s">
        <v>30</v>
      </c>
      <c r="B254">
        <v>2020</v>
      </c>
      <c r="C254" t="s">
        <v>36</v>
      </c>
      <c r="D254">
        <v>144.19999999999999</v>
      </c>
      <c r="E254">
        <v>167.5</v>
      </c>
      <c r="F254">
        <v>150.9</v>
      </c>
      <c r="G254">
        <v>150.9</v>
      </c>
      <c r="H254">
        <v>133.69999999999999</v>
      </c>
      <c r="I254">
        <v>140.69999999999999</v>
      </c>
      <c r="J254">
        <v>165.1</v>
      </c>
      <c r="K254">
        <v>141.80000000000001</v>
      </c>
      <c r="L254">
        <v>113.1</v>
      </c>
      <c r="M254">
        <v>152.80000000000001</v>
      </c>
      <c r="N254">
        <v>140.1</v>
      </c>
      <c r="O254">
        <v>159.19999999999999</v>
      </c>
      <c r="P254">
        <v>149.80000000000001</v>
      </c>
      <c r="Q254">
        <v>169.4</v>
      </c>
      <c r="R254">
        <v>153</v>
      </c>
      <c r="S254">
        <v>147.5</v>
      </c>
      <c r="T254">
        <v>152.30000000000001</v>
      </c>
      <c r="U254" t="s">
        <v>32</v>
      </c>
      <c r="V254">
        <v>152.30000000000001</v>
      </c>
      <c r="W254">
        <v>151.80000000000001</v>
      </c>
      <c r="X254">
        <v>156.19999999999999</v>
      </c>
      <c r="Y254">
        <v>136</v>
      </c>
      <c r="Z254">
        <v>150.4</v>
      </c>
      <c r="AA254">
        <v>161.9</v>
      </c>
      <c r="AB254">
        <v>143.4</v>
      </c>
      <c r="AC254">
        <v>148.4</v>
      </c>
      <c r="AD254">
        <v>150.4</v>
      </c>
    </row>
    <row r="255" spans="1:30">
      <c r="A255" t="s">
        <v>33</v>
      </c>
      <c r="B255">
        <v>2020</v>
      </c>
      <c r="C255" t="s">
        <v>36</v>
      </c>
      <c r="D255">
        <v>146.19999999999999</v>
      </c>
      <c r="E255">
        <v>167.6</v>
      </c>
      <c r="F255">
        <v>153.1</v>
      </c>
      <c r="G255">
        <v>150.69999999999999</v>
      </c>
      <c r="H255">
        <v>127.4</v>
      </c>
      <c r="I255">
        <v>143.1</v>
      </c>
      <c r="J255">
        <v>181.7</v>
      </c>
      <c r="K255">
        <v>139.6</v>
      </c>
      <c r="L255">
        <v>114.6</v>
      </c>
      <c r="M255">
        <v>150.4</v>
      </c>
      <c r="N255">
        <v>131.5</v>
      </c>
      <c r="O255">
        <v>159</v>
      </c>
      <c r="P255">
        <v>151.69999999999999</v>
      </c>
      <c r="Q255">
        <v>172</v>
      </c>
      <c r="R255">
        <v>147.30000000000001</v>
      </c>
      <c r="S255">
        <v>133.5</v>
      </c>
      <c r="T255">
        <v>145.19999999999999</v>
      </c>
      <c r="U255" t="s">
        <v>128</v>
      </c>
      <c r="V255">
        <v>138.9</v>
      </c>
      <c r="W255">
        <v>140.4</v>
      </c>
      <c r="X255">
        <v>144.4</v>
      </c>
      <c r="Y255">
        <v>125.2</v>
      </c>
      <c r="Z255">
        <v>137.69999999999999</v>
      </c>
      <c r="AA255">
        <v>152.19999999999999</v>
      </c>
      <c r="AB255">
        <v>143.5</v>
      </c>
      <c r="AC255">
        <v>138.4</v>
      </c>
      <c r="AD255">
        <v>147.69999999999999</v>
      </c>
    </row>
    <row r="256" spans="1:30">
      <c r="A256" t="s">
        <v>35</v>
      </c>
      <c r="B256">
        <v>2020</v>
      </c>
      <c r="C256" t="s">
        <v>36</v>
      </c>
      <c r="D256">
        <v>144.80000000000001</v>
      </c>
      <c r="E256">
        <v>167.5</v>
      </c>
      <c r="F256">
        <v>151.80000000000001</v>
      </c>
      <c r="G256">
        <v>150.80000000000001</v>
      </c>
      <c r="H256">
        <v>131.4</v>
      </c>
      <c r="I256">
        <v>141.80000000000001</v>
      </c>
      <c r="J256">
        <v>170.7</v>
      </c>
      <c r="K256">
        <v>141.1</v>
      </c>
      <c r="L256">
        <v>113.6</v>
      </c>
      <c r="M256">
        <v>152</v>
      </c>
      <c r="N256">
        <v>136.5</v>
      </c>
      <c r="O256">
        <v>159.1</v>
      </c>
      <c r="P256">
        <v>150.5</v>
      </c>
      <c r="Q256">
        <v>170.1</v>
      </c>
      <c r="R256">
        <v>150.80000000000001</v>
      </c>
      <c r="S256">
        <v>141.69999999999999</v>
      </c>
      <c r="T256">
        <v>149.5</v>
      </c>
      <c r="U256" t="s">
        <v>128</v>
      </c>
      <c r="V256">
        <v>147.19999999999999</v>
      </c>
      <c r="W256">
        <v>146.4</v>
      </c>
      <c r="X256">
        <v>151.69999999999999</v>
      </c>
      <c r="Y256">
        <v>130.30000000000001</v>
      </c>
      <c r="Z256">
        <v>143.19999999999999</v>
      </c>
      <c r="AA256">
        <v>156.19999999999999</v>
      </c>
      <c r="AB256">
        <v>143.4</v>
      </c>
      <c r="AC256">
        <v>143.6</v>
      </c>
      <c r="AD256">
        <v>149.1</v>
      </c>
    </row>
    <row r="257" spans="1:30">
      <c r="A257" t="s">
        <v>30</v>
      </c>
      <c r="B257">
        <v>2020</v>
      </c>
      <c r="C257" t="s">
        <v>38</v>
      </c>
      <c r="D257">
        <v>144.4</v>
      </c>
      <c r="E257">
        <v>166.8</v>
      </c>
      <c r="F257">
        <v>147.6</v>
      </c>
      <c r="G257">
        <v>151.69999999999999</v>
      </c>
      <c r="H257">
        <v>133.30000000000001</v>
      </c>
      <c r="I257">
        <v>141.80000000000001</v>
      </c>
      <c r="J257">
        <v>152.30000000000001</v>
      </c>
      <c r="K257">
        <v>141.80000000000001</v>
      </c>
      <c r="L257">
        <v>112.6</v>
      </c>
      <c r="M257">
        <v>154</v>
      </c>
      <c r="N257">
        <v>140.1</v>
      </c>
      <c r="O257">
        <v>160</v>
      </c>
      <c r="P257">
        <v>148.19999999999999</v>
      </c>
      <c r="Q257">
        <v>170.5</v>
      </c>
      <c r="R257">
        <v>153.4</v>
      </c>
      <c r="S257">
        <v>147.6</v>
      </c>
      <c r="T257">
        <v>152.5</v>
      </c>
      <c r="U257" t="s">
        <v>32</v>
      </c>
      <c r="V257">
        <v>153.4</v>
      </c>
      <c r="W257">
        <v>151.5</v>
      </c>
      <c r="X257">
        <v>156.69999999999999</v>
      </c>
      <c r="Y257">
        <v>135.80000000000001</v>
      </c>
      <c r="Z257">
        <v>151.19999999999999</v>
      </c>
      <c r="AA257">
        <v>161.19999999999999</v>
      </c>
      <c r="AB257">
        <v>145.1</v>
      </c>
      <c r="AC257">
        <v>148.6</v>
      </c>
      <c r="AD257">
        <v>149.80000000000001</v>
      </c>
    </row>
    <row r="258" spans="1:30">
      <c r="A258" t="s">
        <v>33</v>
      </c>
      <c r="B258">
        <v>2020</v>
      </c>
      <c r="C258" t="s">
        <v>38</v>
      </c>
      <c r="D258">
        <v>146.5</v>
      </c>
      <c r="E258">
        <v>167.5</v>
      </c>
      <c r="F258">
        <v>148.9</v>
      </c>
      <c r="G258">
        <v>151.1</v>
      </c>
      <c r="H258">
        <v>127.5</v>
      </c>
      <c r="I258">
        <v>143.30000000000001</v>
      </c>
      <c r="J258">
        <v>167</v>
      </c>
      <c r="K258">
        <v>139.69999999999999</v>
      </c>
      <c r="L258">
        <v>114.4</v>
      </c>
      <c r="M258">
        <v>151.5</v>
      </c>
      <c r="N258">
        <v>131.9</v>
      </c>
      <c r="O258">
        <v>159.1</v>
      </c>
      <c r="P258">
        <v>150.1</v>
      </c>
      <c r="Q258">
        <v>173.3</v>
      </c>
      <c r="R258">
        <v>147.69999999999999</v>
      </c>
      <c r="S258">
        <v>133.80000000000001</v>
      </c>
      <c r="T258">
        <v>145.6</v>
      </c>
      <c r="U258" t="s">
        <v>129</v>
      </c>
      <c r="V258">
        <v>141.4</v>
      </c>
      <c r="W258">
        <v>140.80000000000001</v>
      </c>
      <c r="X258">
        <v>145</v>
      </c>
      <c r="Y258">
        <v>124.6</v>
      </c>
      <c r="Z258">
        <v>137.9</v>
      </c>
      <c r="AA258">
        <v>152.5</v>
      </c>
      <c r="AB258">
        <v>145.30000000000001</v>
      </c>
      <c r="AC258">
        <v>138.69999999999999</v>
      </c>
      <c r="AD258">
        <v>147.30000000000001</v>
      </c>
    </row>
    <row r="259" spans="1:30">
      <c r="A259" t="s">
        <v>35</v>
      </c>
      <c r="B259">
        <v>2020</v>
      </c>
      <c r="C259" t="s">
        <v>38</v>
      </c>
      <c r="D259">
        <v>145.1</v>
      </c>
      <c r="E259">
        <v>167</v>
      </c>
      <c r="F259">
        <v>148.1</v>
      </c>
      <c r="G259">
        <v>151.5</v>
      </c>
      <c r="H259">
        <v>131.19999999999999</v>
      </c>
      <c r="I259">
        <v>142.5</v>
      </c>
      <c r="J259">
        <v>157.30000000000001</v>
      </c>
      <c r="K259">
        <v>141.1</v>
      </c>
      <c r="L259">
        <v>113.2</v>
      </c>
      <c r="M259">
        <v>153.19999999999999</v>
      </c>
      <c r="N259">
        <v>136.69999999999999</v>
      </c>
      <c r="O259">
        <v>159.6</v>
      </c>
      <c r="P259">
        <v>148.9</v>
      </c>
      <c r="Q259">
        <v>171.2</v>
      </c>
      <c r="R259">
        <v>151.19999999999999</v>
      </c>
      <c r="S259">
        <v>141.9</v>
      </c>
      <c r="T259">
        <v>149.80000000000001</v>
      </c>
      <c r="U259" t="s">
        <v>129</v>
      </c>
      <c r="V259">
        <v>148.9</v>
      </c>
      <c r="W259">
        <v>146.4</v>
      </c>
      <c r="X259">
        <v>152.30000000000001</v>
      </c>
      <c r="Y259">
        <v>129.9</v>
      </c>
      <c r="Z259">
        <v>143.69999999999999</v>
      </c>
      <c r="AA259">
        <v>156.1</v>
      </c>
      <c r="AB259">
        <v>145.19999999999999</v>
      </c>
      <c r="AC259">
        <v>143.80000000000001</v>
      </c>
      <c r="AD259">
        <v>148.6</v>
      </c>
    </row>
    <row r="260" spans="1:30">
      <c r="A260" t="s">
        <v>30</v>
      </c>
      <c r="B260">
        <v>2020</v>
      </c>
      <c r="C260" t="s">
        <v>39</v>
      </c>
      <c r="D260">
        <v>147.19999999999999</v>
      </c>
      <c r="F260">
        <v>146.9</v>
      </c>
      <c r="G260">
        <v>155.6</v>
      </c>
      <c r="H260">
        <v>137.1</v>
      </c>
      <c r="I260">
        <v>147.30000000000001</v>
      </c>
      <c r="J260">
        <v>162.69999999999999</v>
      </c>
      <c r="K260">
        <v>150.19999999999999</v>
      </c>
      <c r="L260">
        <v>119.8</v>
      </c>
      <c r="M260">
        <v>158.69999999999999</v>
      </c>
      <c r="N260">
        <v>139.19999999999999</v>
      </c>
      <c r="P260">
        <v>150.1</v>
      </c>
      <c r="U260" t="s">
        <v>32</v>
      </c>
      <c r="V260">
        <v>148.4</v>
      </c>
      <c r="X260">
        <v>154.30000000000001</v>
      </c>
    </row>
    <row r="261" spans="1:30">
      <c r="A261" t="s">
        <v>33</v>
      </c>
      <c r="B261">
        <v>2020</v>
      </c>
      <c r="C261" t="s">
        <v>39</v>
      </c>
      <c r="D261">
        <v>151.80000000000001</v>
      </c>
      <c r="F261">
        <v>151.9</v>
      </c>
      <c r="G261">
        <v>155.5</v>
      </c>
      <c r="H261">
        <v>131.6</v>
      </c>
      <c r="I261">
        <v>152.9</v>
      </c>
      <c r="J261">
        <v>180</v>
      </c>
      <c r="K261">
        <v>150.80000000000001</v>
      </c>
      <c r="L261">
        <v>121.2</v>
      </c>
      <c r="M261">
        <v>154</v>
      </c>
      <c r="N261">
        <v>133.5</v>
      </c>
      <c r="P261">
        <v>153.5</v>
      </c>
      <c r="U261" t="s">
        <v>130</v>
      </c>
      <c r="V261">
        <v>137.1</v>
      </c>
      <c r="X261">
        <v>144.80000000000001</v>
      </c>
    </row>
    <row r="262" spans="1:30">
      <c r="A262" t="s">
        <v>35</v>
      </c>
      <c r="B262">
        <v>2020</v>
      </c>
      <c r="C262" t="s">
        <v>39</v>
      </c>
      <c r="D262">
        <v>148.69999999999999</v>
      </c>
      <c r="F262">
        <v>148.80000000000001</v>
      </c>
      <c r="G262">
        <v>155.6</v>
      </c>
      <c r="H262">
        <v>135.1</v>
      </c>
      <c r="I262">
        <v>149.9</v>
      </c>
      <c r="J262">
        <v>168.6</v>
      </c>
      <c r="K262">
        <v>150.4</v>
      </c>
      <c r="L262">
        <v>120.3</v>
      </c>
      <c r="M262">
        <v>157.1</v>
      </c>
      <c r="N262">
        <v>136.80000000000001</v>
      </c>
      <c r="P262">
        <v>151.4</v>
      </c>
      <c r="U262" t="s">
        <v>130</v>
      </c>
      <c r="V262">
        <v>144.1</v>
      </c>
      <c r="X262">
        <v>150.69999999999999</v>
      </c>
    </row>
    <row r="263" spans="1:30">
      <c r="A263" t="s">
        <v>30</v>
      </c>
      <c r="B263">
        <v>2020</v>
      </c>
      <c r="C263" t="s">
        <v>41</v>
      </c>
      <c r="U263" t="s">
        <v>32</v>
      </c>
    </row>
    <row r="264" spans="1:30">
      <c r="A264" t="s">
        <v>33</v>
      </c>
      <c r="B264">
        <v>2020</v>
      </c>
      <c r="C264" t="s">
        <v>41</v>
      </c>
      <c r="U264" t="s">
        <v>32</v>
      </c>
    </row>
    <row r="265" spans="1:30">
      <c r="A265" t="s">
        <v>35</v>
      </c>
      <c r="B265">
        <v>2020</v>
      </c>
      <c r="C265" t="s">
        <v>41</v>
      </c>
      <c r="U265" t="s">
        <v>32</v>
      </c>
    </row>
    <row r="266" spans="1:30">
      <c r="A266" t="s">
        <v>30</v>
      </c>
      <c r="B266">
        <v>2020</v>
      </c>
      <c r="C266" t="s">
        <v>42</v>
      </c>
      <c r="D266">
        <v>148.19999999999999</v>
      </c>
      <c r="E266">
        <v>190.3</v>
      </c>
      <c r="F266">
        <v>149.4</v>
      </c>
      <c r="G266">
        <v>153.30000000000001</v>
      </c>
      <c r="H266">
        <v>138.19999999999999</v>
      </c>
      <c r="I266">
        <v>143.19999999999999</v>
      </c>
      <c r="J266">
        <v>148.9</v>
      </c>
      <c r="K266">
        <v>150.30000000000001</v>
      </c>
      <c r="L266">
        <v>113.2</v>
      </c>
      <c r="M266">
        <v>159.80000000000001</v>
      </c>
      <c r="N266">
        <v>142.1</v>
      </c>
      <c r="O266">
        <v>161.80000000000001</v>
      </c>
      <c r="P266">
        <v>152.30000000000001</v>
      </c>
      <c r="Q266">
        <v>182.4</v>
      </c>
      <c r="R266">
        <v>154.69999999999999</v>
      </c>
      <c r="S266">
        <v>150</v>
      </c>
      <c r="T266">
        <v>154.1</v>
      </c>
      <c r="U266" t="s">
        <v>32</v>
      </c>
      <c r="V266">
        <v>144.9</v>
      </c>
      <c r="W266">
        <v>151.69999999999999</v>
      </c>
      <c r="X266">
        <v>158.19999999999999</v>
      </c>
      <c r="Y266">
        <v>141.4</v>
      </c>
      <c r="Z266">
        <v>153.19999999999999</v>
      </c>
      <c r="AA266">
        <v>161.80000000000001</v>
      </c>
      <c r="AB266">
        <v>151.19999999999999</v>
      </c>
      <c r="AC266">
        <v>151.69999999999999</v>
      </c>
      <c r="AD266">
        <v>152.69999999999999</v>
      </c>
    </row>
    <row r="267" spans="1:30">
      <c r="A267" t="s">
        <v>33</v>
      </c>
      <c r="B267">
        <v>2020</v>
      </c>
      <c r="C267" t="s">
        <v>42</v>
      </c>
      <c r="D267">
        <v>152.69999999999999</v>
      </c>
      <c r="E267">
        <v>197</v>
      </c>
      <c r="F267">
        <v>154.6</v>
      </c>
      <c r="G267">
        <v>153.4</v>
      </c>
      <c r="H267">
        <v>132.9</v>
      </c>
      <c r="I267">
        <v>151.80000000000001</v>
      </c>
      <c r="J267">
        <v>171.2</v>
      </c>
      <c r="K267">
        <v>152</v>
      </c>
      <c r="L267">
        <v>116.3</v>
      </c>
      <c r="M267">
        <v>158.80000000000001</v>
      </c>
      <c r="N267">
        <v>135.6</v>
      </c>
      <c r="O267">
        <v>161.69999999999999</v>
      </c>
      <c r="P267">
        <v>157</v>
      </c>
      <c r="Q267">
        <v>186.7</v>
      </c>
      <c r="R267">
        <v>149.1</v>
      </c>
      <c r="S267">
        <v>136.6</v>
      </c>
      <c r="T267">
        <v>147.19999999999999</v>
      </c>
      <c r="U267" t="s">
        <v>131</v>
      </c>
      <c r="V267">
        <v>137.1</v>
      </c>
      <c r="W267">
        <v>140.4</v>
      </c>
      <c r="X267">
        <v>148.1</v>
      </c>
      <c r="Y267">
        <v>129.30000000000001</v>
      </c>
      <c r="Z267">
        <v>144.5</v>
      </c>
      <c r="AA267">
        <v>152.5</v>
      </c>
      <c r="AB267">
        <v>152.19999999999999</v>
      </c>
      <c r="AC267">
        <v>142</v>
      </c>
      <c r="AD267">
        <v>150.80000000000001</v>
      </c>
    </row>
    <row r="268" spans="1:30">
      <c r="A268" t="s">
        <v>35</v>
      </c>
      <c r="B268">
        <v>2020</v>
      </c>
      <c r="C268" t="s">
        <v>42</v>
      </c>
      <c r="D268">
        <v>149.6</v>
      </c>
      <c r="E268">
        <v>192.7</v>
      </c>
      <c r="F268">
        <v>151.4</v>
      </c>
      <c r="G268">
        <v>153.30000000000001</v>
      </c>
      <c r="H268">
        <v>136.30000000000001</v>
      </c>
      <c r="I268">
        <v>147.19999999999999</v>
      </c>
      <c r="J268">
        <v>156.5</v>
      </c>
      <c r="K268">
        <v>150.9</v>
      </c>
      <c r="L268">
        <v>114.2</v>
      </c>
      <c r="M268">
        <v>159.5</v>
      </c>
      <c r="N268">
        <v>139.4</v>
      </c>
      <c r="O268">
        <v>161.80000000000001</v>
      </c>
      <c r="P268">
        <v>154</v>
      </c>
      <c r="Q268">
        <v>183.5</v>
      </c>
      <c r="R268">
        <v>152.5</v>
      </c>
      <c r="S268">
        <v>144.4</v>
      </c>
      <c r="T268">
        <v>151.4</v>
      </c>
      <c r="U268" t="s">
        <v>131</v>
      </c>
      <c r="V268">
        <v>141.9</v>
      </c>
      <c r="W268">
        <v>146.4</v>
      </c>
      <c r="X268">
        <v>154.4</v>
      </c>
      <c r="Y268">
        <v>135</v>
      </c>
      <c r="Z268">
        <v>148.30000000000001</v>
      </c>
      <c r="AA268">
        <v>156.4</v>
      </c>
      <c r="AB268">
        <v>151.6</v>
      </c>
      <c r="AC268">
        <v>147</v>
      </c>
      <c r="AD268">
        <v>151.80000000000001</v>
      </c>
    </row>
    <row r="269" spans="1:30">
      <c r="A269" t="s">
        <v>30</v>
      </c>
      <c r="B269">
        <v>2020</v>
      </c>
      <c r="C269" t="s">
        <v>44</v>
      </c>
      <c r="D269">
        <v>148.19999999999999</v>
      </c>
      <c r="E269">
        <v>190.3</v>
      </c>
      <c r="F269">
        <v>149.4</v>
      </c>
      <c r="G269">
        <v>153.30000000000001</v>
      </c>
      <c r="H269">
        <v>138.19999999999999</v>
      </c>
      <c r="I269">
        <v>143.19999999999999</v>
      </c>
      <c r="J269">
        <v>148.9</v>
      </c>
      <c r="K269">
        <v>150.30000000000001</v>
      </c>
      <c r="L269">
        <v>113.2</v>
      </c>
      <c r="M269">
        <v>159.80000000000001</v>
      </c>
      <c r="N269">
        <v>142.1</v>
      </c>
      <c r="O269">
        <v>161.80000000000001</v>
      </c>
      <c r="P269">
        <v>152.30000000000001</v>
      </c>
      <c r="Q269">
        <v>182.4</v>
      </c>
      <c r="R269">
        <v>154.69999999999999</v>
      </c>
      <c r="S269">
        <v>150</v>
      </c>
      <c r="T269">
        <v>154.1</v>
      </c>
      <c r="U269" t="s">
        <v>32</v>
      </c>
      <c r="V269">
        <v>144.9</v>
      </c>
      <c r="W269">
        <v>151.69999999999999</v>
      </c>
      <c r="X269">
        <v>158.19999999999999</v>
      </c>
      <c r="Y269">
        <v>141.4</v>
      </c>
      <c r="Z269">
        <v>153.19999999999999</v>
      </c>
      <c r="AA269">
        <v>161.80000000000001</v>
      </c>
      <c r="AB269">
        <v>151.19999999999999</v>
      </c>
      <c r="AC269">
        <v>151.69999999999999</v>
      </c>
      <c r="AD269">
        <v>152.69999999999999</v>
      </c>
    </row>
    <row r="270" spans="1:30">
      <c r="A270" t="s">
        <v>33</v>
      </c>
      <c r="B270">
        <v>2020</v>
      </c>
      <c r="C270" t="s">
        <v>44</v>
      </c>
      <c r="D270">
        <v>152.69999999999999</v>
      </c>
      <c r="E270">
        <v>197</v>
      </c>
      <c r="F270">
        <v>154.6</v>
      </c>
      <c r="G270">
        <v>153.4</v>
      </c>
      <c r="H270">
        <v>132.9</v>
      </c>
      <c r="I270">
        <v>151.80000000000001</v>
      </c>
      <c r="J270">
        <v>171.2</v>
      </c>
      <c r="K270">
        <v>152</v>
      </c>
      <c r="L270">
        <v>116.3</v>
      </c>
      <c r="M270">
        <v>158.80000000000001</v>
      </c>
      <c r="N270">
        <v>135.6</v>
      </c>
      <c r="O270">
        <v>161.69999999999999</v>
      </c>
      <c r="P270">
        <v>157</v>
      </c>
      <c r="Q270">
        <v>186.7</v>
      </c>
      <c r="R270">
        <v>149.1</v>
      </c>
      <c r="S270">
        <v>136.6</v>
      </c>
      <c r="T270">
        <v>147.19999999999999</v>
      </c>
      <c r="U270" t="s">
        <v>131</v>
      </c>
      <c r="V270">
        <v>137.1</v>
      </c>
      <c r="W270">
        <v>140.4</v>
      </c>
      <c r="X270">
        <v>148.1</v>
      </c>
      <c r="Y270">
        <v>129.30000000000001</v>
      </c>
      <c r="Z270">
        <v>144.5</v>
      </c>
      <c r="AA270">
        <v>152.5</v>
      </c>
      <c r="AB270">
        <v>152.19999999999999</v>
      </c>
      <c r="AC270">
        <v>142</v>
      </c>
      <c r="AD270">
        <v>150.80000000000001</v>
      </c>
    </row>
    <row r="271" spans="1:30">
      <c r="A271" t="s">
        <v>35</v>
      </c>
      <c r="B271">
        <v>2020</v>
      </c>
      <c r="C271" t="s">
        <v>44</v>
      </c>
      <c r="D271">
        <v>149.6</v>
      </c>
      <c r="E271">
        <v>192.7</v>
      </c>
      <c r="F271">
        <v>151.4</v>
      </c>
      <c r="G271">
        <v>153.30000000000001</v>
      </c>
      <c r="H271">
        <v>136.30000000000001</v>
      </c>
      <c r="I271">
        <v>147.19999999999999</v>
      </c>
      <c r="J271">
        <v>156.5</v>
      </c>
      <c r="K271">
        <v>150.9</v>
      </c>
      <c r="L271">
        <v>114.2</v>
      </c>
      <c r="M271">
        <v>159.5</v>
      </c>
      <c r="N271">
        <v>139.4</v>
      </c>
      <c r="O271">
        <v>161.80000000000001</v>
      </c>
      <c r="P271">
        <v>154</v>
      </c>
      <c r="Q271">
        <v>183.5</v>
      </c>
      <c r="R271">
        <v>152.5</v>
      </c>
      <c r="S271">
        <v>144.4</v>
      </c>
      <c r="T271">
        <v>151.4</v>
      </c>
      <c r="U271" t="s">
        <v>131</v>
      </c>
      <c r="V271">
        <v>141.9</v>
      </c>
      <c r="W271">
        <v>146.4</v>
      </c>
      <c r="X271">
        <v>154.4</v>
      </c>
      <c r="Y271">
        <v>135</v>
      </c>
      <c r="Z271">
        <v>148.30000000000001</v>
      </c>
      <c r="AA271">
        <v>156.4</v>
      </c>
      <c r="AB271">
        <v>151.6</v>
      </c>
      <c r="AC271">
        <v>147</v>
      </c>
      <c r="AD271">
        <v>151.80000000000001</v>
      </c>
    </row>
    <row r="272" spans="1:30">
      <c r="A272" t="s">
        <v>30</v>
      </c>
      <c r="B272">
        <v>2020</v>
      </c>
      <c r="C272" t="s">
        <v>46</v>
      </c>
      <c r="D272">
        <v>147.6</v>
      </c>
      <c r="E272">
        <v>187.2</v>
      </c>
      <c r="F272">
        <v>148.4</v>
      </c>
      <c r="G272">
        <v>153.30000000000001</v>
      </c>
      <c r="H272">
        <v>139.80000000000001</v>
      </c>
      <c r="I272">
        <v>146.9</v>
      </c>
      <c r="J272">
        <v>171</v>
      </c>
      <c r="K272">
        <v>149.9</v>
      </c>
      <c r="L272">
        <v>114.2</v>
      </c>
      <c r="M272">
        <v>160</v>
      </c>
      <c r="N272">
        <v>143.5</v>
      </c>
      <c r="O272">
        <v>161.5</v>
      </c>
      <c r="P272">
        <v>155.30000000000001</v>
      </c>
      <c r="Q272">
        <v>180.9</v>
      </c>
      <c r="R272">
        <v>155.1</v>
      </c>
      <c r="S272">
        <v>149.30000000000001</v>
      </c>
      <c r="T272">
        <v>154.30000000000001</v>
      </c>
      <c r="U272" t="s">
        <v>32</v>
      </c>
      <c r="V272">
        <v>145.80000000000001</v>
      </c>
      <c r="W272">
        <v>151.9</v>
      </c>
      <c r="X272">
        <v>158.80000000000001</v>
      </c>
      <c r="Y272">
        <v>143.6</v>
      </c>
      <c r="Z272">
        <v>152.19999999999999</v>
      </c>
      <c r="AA272">
        <v>162.69999999999999</v>
      </c>
      <c r="AB272">
        <v>153.6</v>
      </c>
      <c r="AC272">
        <v>153</v>
      </c>
      <c r="AD272">
        <v>154.69999999999999</v>
      </c>
    </row>
    <row r="273" spans="1:30">
      <c r="A273" t="s">
        <v>33</v>
      </c>
      <c r="B273">
        <v>2020</v>
      </c>
      <c r="C273" t="s">
        <v>46</v>
      </c>
      <c r="D273">
        <v>151.6</v>
      </c>
      <c r="E273">
        <v>197.8</v>
      </c>
      <c r="F273">
        <v>154.5</v>
      </c>
      <c r="G273">
        <v>153.4</v>
      </c>
      <c r="H273">
        <v>133.4</v>
      </c>
      <c r="I273">
        <v>154.5</v>
      </c>
      <c r="J273">
        <v>191.9</v>
      </c>
      <c r="K273">
        <v>151.30000000000001</v>
      </c>
      <c r="L273">
        <v>116.8</v>
      </c>
      <c r="M273">
        <v>160</v>
      </c>
      <c r="N273">
        <v>136.5</v>
      </c>
      <c r="O273">
        <v>163.30000000000001</v>
      </c>
      <c r="P273">
        <v>159.9</v>
      </c>
      <c r="Q273">
        <v>187.2</v>
      </c>
      <c r="R273">
        <v>150</v>
      </c>
      <c r="S273">
        <v>135.19999999999999</v>
      </c>
      <c r="T273">
        <v>147.80000000000001</v>
      </c>
      <c r="U273" t="s">
        <v>132</v>
      </c>
      <c r="V273">
        <v>138.30000000000001</v>
      </c>
      <c r="W273">
        <v>144.5</v>
      </c>
      <c r="X273">
        <v>148.69999999999999</v>
      </c>
      <c r="Y273">
        <v>133.9</v>
      </c>
      <c r="Z273">
        <v>141.19999999999999</v>
      </c>
      <c r="AA273">
        <v>155.5</v>
      </c>
      <c r="AB273">
        <v>155.19999999999999</v>
      </c>
      <c r="AC273">
        <v>144.80000000000001</v>
      </c>
      <c r="AD273">
        <v>152.9</v>
      </c>
    </row>
    <row r="274" spans="1:30">
      <c r="A274" t="s">
        <v>35</v>
      </c>
      <c r="B274">
        <v>2020</v>
      </c>
      <c r="C274" t="s">
        <v>46</v>
      </c>
      <c r="D274">
        <v>148.9</v>
      </c>
      <c r="E274">
        <v>190.9</v>
      </c>
      <c r="F274">
        <v>150.80000000000001</v>
      </c>
      <c r="G274">
        <v>153.30000000000001</v>
      </c>
      <c r="H274">
        <v>137.4</v>
      </c>
      <c r="I274">
        <v>150.4</v>
      </c>
      <c r="J274">
        <v>178.1</v>
      </c>
      <c r="K274">
        <v>150.4</v>
      </c>
      <c r="L274">
        <v>115.1</v>
      </c>
      <c r="M274">
        <v>160</v>
      </c>
      <c r="N274">
        <v>140.6</v>
      </c>
      <c r="O274">
        <v>162.30000000000001</v>
      </c>
      <c r="P274">
        <v>157</v>
      </c>
      <c r="Q274">
        <v>182.6</v>
      </c>
      <c r="R274">
        <v>153.1</v>
      </c>
      <c r="S274">
        <v>143.4</v>
      </c>
      <c r="T274">
        <v>151.69999999999999</v>
      </c>
      <c r="U274" t="s">
        <v>132</v>
      </c>
      <c r="V274">
        <v>143</v>
      </c>
      <c r="W274">
        <v>148.4</v>
      </c>
      <c r="X274">
        <v>155</v>
      </c>
      <c r="Y274">
        <v>138.5</v>
      </c>
      <c r="Z274">
        <v>146</v>
      </c>
      <c r="AA274">
        <v>158.5</v>
      </c>
      <c r="AB274">
        <v>154.30000000000001</v>
      </c>
      <c r="AC274">
        <v>149</v>
      </c>
      <c r="AD274">
        <v>153.9</v>
      </c>
    </row>
    <row r="275" spans="1:30">
      <c r="A275" t="s">
        <v>30</v>
      </c>
      <c r="B275">
        <v>2020</v>
      </c>
      <c r="C275" t="s">
        <v>48</v>
      </c>
      <c r="D275">
        <v>146.9</v>
      </c>
      <c r="E275">
        <v>183.9</v>
      </c>
      <c r="F275">
        <v>149.5</v>
      </c>
      <c r="G275">
        <v>153.4</v>
      </c>
      <c r="H275">
        <v>140.4</v>
      </c>
      <c r="I275">
        <v>147</v>
      </c>
      <c r="J275">
        <v>178.8</v>
      </c>
      <c r="K275">
        <v>149.30000000000001</v>
      </c>
      <c r="L275">
        <v>115.1</v>
      </c>
      <c r="M275">
        <v>160</v>
      </c>
      <c r="N275">
        <v>145.4</v>
      </c>
      <c r="O275">
        <v>161.6</v>
      </c>
      <c r="P275">
        <v>156.1</v>
      </c>
      <c r="Q275">
        <v>182.9</v>
      </c>
      <c r="R275">
        <v>155.4</v>
      </c>
      <c r="S275">
        <v>149.9</v>
      </c>
      <c r="T275">
        <v>154.6</v>
      </c>
      <c r="U275" t="s">
        <v>32</v>
      </c>
      <c r="V275">
        <v>146.4</v>
      </c>
      <c r="W275">
        <v>151.6</v>
      </c>
      <c r="X275">
        <v>159.1</v>
      </c>
      <c r="Y275">
        <v>144.6</v>
      </c>
      <c r="Z275">
        <v>152.80000000000001</v>
      </c>
      <c r="AA275">
        <v>161.1</v>
      </c>
      <c r="AB275">
        <v>157.4</v>
      </c>
      <c r="AC275">
        <v>153.69999999999999</v>
      </c>
      <c r="AD275">
        <v>155.4</v>
      </c>
    </row>
    <row r="276" spans="1:30">
      <c r="A276" t="s">
        <v>33</v>
      </c>
      <c r="B276">
        <v>2020</v>
      </c>
      <c r="C276" t="s">
        <v>48</v>
      </c>
      <c r="D276">
        <v>151.5</v>
      </c>
      <c r="E276">
        <v>193.1</v>
      </c>
      <c r="F276">
        <v>157.30000000000001</v>
      </c>
      <c r="G276">
        <v>153.9</v>
      </c>
      <c r="H276">
        <v>134.4</v>
      </c>
      <c r="I276">
        <v>155.4</v>
      </c>
      <c r="J276">
        <v>202</v>
      </c>
      <c r="K276">
        <v>150.80000000000001</v>
      </c>
      <c r="L276">
        <v>118.9</v>
      </c>
      <c r="M276">
        <v>160.9</v>
      </c>
      <c r="N276">
        <v>137.69999999999999</v>
      </c>
      <c r="O276">
        <v>164.4</v>
      </c>
      <c r="P276">
        <v>161.30000000000001</v>
      </c>
      <c r="Q276">
        <v>188.7</v>
      </c>
      <c r="R276">
        <v>150.19999999999999</v>
      </c>
      <c r="S276">
        <v>136.30000000000001</v>
      </c>
      <c r="T276">
        <v>148.1</v>
      </c>
      <c r="U276" t="s">
        <v>133</v>
      </c>
      <c r="V276">
        <v>137.19999999999999</v>
      </c>
      <c r="W276">
        <v>145.4</v>
      </c>
      <c r="X276">
        <v>150</v>
      </c>
      <c r="Y276">
        <v>135.1</v>
      </c>
      <c r="Z276">
        <v>141.80000000000001</v>
      </c>
      <c r="AA276">
        <v>154.9</v>
      </c>
      <c r="AB276">
        <v>159.80000000000001</v>
      </c>
      <c r="AC276">
        <v>146</v>
      </c>
      <c r="AD276">
        <v>154</v>
      </c>
    </row>
    <row r="277" spans="1:30">
      <c r="A277" t="s">
        <v>35</v>
      </c>
      <c r="B277">
        <v>2020</v>
      </c>
      <c r="C277" t="s">
        <v>48</v>
      </c>
      <c r="D277">
        <v>148.4</v>
      </c>
      <c r="E277">
        <v>187.1</v>
      </c>
      <c r="F277">
        <v>152.5</v>
      </c>
      <c r="G277">
        <v>153.6</v>
      </c>
      <c r="H277">
        <v>138.19999999999999</v>
      </c>
      <c r="I277">
        <v>150.9</v>
      </c>
      <c r="J277">
        <v>186.7</v>
      </c>
      <c r="K277">
        <v>149.80000000000001</v>
      </c>
      <c r="L277">
        <v>116.4</v>
      </c>
      <c r="M277">
        <v>160.30000000000001</v>
      </c>
      <c r="N277">
        <v>142.19999999999999</v>
      </c>
      <c r="O277">
        <v>162.9</v>
      </c>
      <c r="P277">
        <v>158</v>
      </c>
      <c r="Q277">
        <v>184.4</v>
      </c>
      <c r="R277">
        <v>153.4</v>
      </c>
      <c r="S277">
        <v>144.30000000000001</v>
      </c>
      <c r="T277">
        <v>152</v>
      </c>
      <c r="U277" t="s">
        <v>133</v>
      </c>
      <c r="V277">
        <v>142.9</v>
      </c>
      <c r="W277">
        <v>148.69999999999999</v>
      </c>
      <c r="X277">
        <v>155.6</v>
      </c>
      <c r="Y277">
        <v>139.6</v>
      </c>
      <c r="Z277">
        <v>146.6</v>
      </c>
      <c r="AA277">
        <v>157.5</v>
      </c>
      <c r="AB277">
        <v>158.4</v>
      </c>
      <c r="AC277">
        <v>150</v>
      </c>
      <c r="AD277">
        <v>154.69999999999999</v>
      </c>
    </row>
    <row r="278" spans="1:30">
      <c r="A278" t="s">
        <v>30</v>
      </c>
      <c r="B278">
        <v>2020</v>
      </c>
      <c r="C278" t="s">
        <v>50</v>
      </c>
      <c r="D278">
        <v>146</v>
      </c>
      <c r="E278">
        <v>186.3</v>
      </c>
      <c r="F278">
        <v>159.19999999999999</v>
      </c>
      <c r="G278">
        <v>153.6</v>
      </c>
      <c r="H278">
        <v>142.6</v>
      </c>
      <c r="I278">
        <v>147.19999999999999</v>
      </c>
      <c r="J278">
        <v>200.6</v>
      </c>
      <c r="K278">
        <v>150.30000000000001</v>
      </c>
      <c r="L278">
        <v>115.3</v>
      </c>
      <c r="M278">
        <v>160.9</v>
      </c>
      <c r="N278">
        <v>147.4</v>
      </c>
      <c r="O278">
        <v>161.9</v>
      </c>
      <c r="P278">
        <v>159.6</v>
      </c>
      <c r="Q278">
        <v>182.7</v>
      </c>
      <c r="R278">
        <v>155.69999999999999</v>
      </c>
      <c r="S278">
        <v>150.6</v>
      </c>
      <c r="T278">
        <v>155</v>
      </c>
      <c r="U278" t="s">
        <v>32</v>
      </c>
      <c r="V278">
        <v>146.80000000000001</v>
      </c>
      <c r="W278">
        <v>152</v>
      </c>
      <c r="X278">
        <v>159.5</v>
      </c>
      <c r="Y278">
        <v>146.4</v>
      </c>
      <c r="Z278">
        <v>152.4</v>
      </c>
      <c r="AA278">
        <v>162.5</v>
      </c>
      <c r="AB278">
        <v>156.19999999999999</v>
      </c>
      <c r="AC278">
        <v>154.30000000000001</v>
      </c>
      <c r="AD278">
        <v>157.5</v>
      </c>
    </row>
    <row r="279" spans="1:30">
      <c r="A279" t="s">
        <v>33</v>
      </c>
      <c r="B279">
        <v>2020</v>
      </c>
      <c r="C279" t="s">
        <v>50</v>
      </c>
      <c r="D279">
        <v>150.6</v>
      </c>
      <c r="E279">
        <v>193.7</v>
      </c>
      <c r="F279">
        <v>164.8</v>
      </c>
      <c r="G279">
        <v>153.69999999999999</v>
      </c>
      <c r="H279">
        <v>135.69999999999999</v>
      </c>
      <c r="I279">
        <v>155.69999999999999</v>
      </c>
      <c r="J279">
        <v>226</v>
      </c>
      <c r="K279">
        <v>152.19999999999999</v>
      </c>
      <c r="L279">
        <v>118.1</v>
      </c>
      <c r="M279">
        <v>161.30000000000001</v>
      </c>
      <c r="N279">
        <v>139.19999999999999</v>
      </c>
      <c r="O279">
        <v>164.8</v>
      </c>
      <c r="P279">
        <v>164.4</v>
      </c>
      <c r="Q279">
        <v>188.7</v>
      </c>
      <c r="R279">
        <v>150.5</v>
      </c>
      <c r="S279">
        <v>136.1</v>
      </c>
      <c r="T279">
        <v>148.30000000000001</v>
      </c>
      <c r="U279" t="s">
        <v>134</v>
      </c>
      <c r="V279">
        <v>137.1</v>
      </c>
      <c r="W279">
        <v>145.1</v>
      </c>
      <c r="X279">
        <v>151</v>
      </c>
      <c r="Y279">
        <v>135.4</v>
      </c>
      <c r="Z279">
        <v>142</v>
      </c>
      <c r="AA279">
        <v>155.69999999999999</v>
      </c>
      <c r="AB279">
        <v>158.1</v>
      </c>
      <c r="AC279">
        <v>146.19999999999999</v>
      </c>
      <c r="AD279">
        <v>155.19999999999999</v>
      </c>
    </row>
    <row r="280" spans="1:30">
      <c r="A280" t="s">
        <v>35</v>
      </c>
      <c r="B280">
        <v>2020</v>
      </c>
      <c r="C280" t="s">
        <v>50</v>
      </c>
      <c r="D280">
        <v>147.5</v>
      </c>
      <c r="E280">
        <v>188.9</v>
      </c>
      <c r="F280">
        <v>161.4</v>
      </c>
      <c r="G280">
        <v>153.6</v>
      </c>
      <c r="H280">
        <v>140.1</v>
      </c>
      <c r="I280">
        <v>151.19999999999999</v>
      </c>
      <c r="J280">
        <v>209.2</v>
      </c>
      <c r="K280">
        <v>150.9</v>
      </c>
      <c r="L280">
        <v>116.2</v>
      </c>
      <c r="M280">
        <v>161</v>
      </c>
      <c r="N280">
        <v>144</v>
      </c>
      <c r="O280">
        <v>163.19999999999999</v>
      </c>
      <c r="P280">
        <v>161.4</v>
      </c>
      <c r="Q280">
        <v>184.3</v>
      </c>
      <c r="R280">
        <v>153.69999999999999</v>
      </c>
      <c r="S280">
        <v>144.6</v>
      </c>
      <c r="T280">
        <v>152.30000000000001</v>
      </c>
      <c r="U280" t="s">
        <v>134</v>
      </c>
      <c r="V280">
        <v>143.1</v>
      </c>
      <c r="W280">
        <v>148.69999999999999</v>
      </c>
      <c r="X280">
        <v>156.30000000000001</v>
      </c>
      <c r="Y280">
        <v>140.6</v>
      </c>
      <c r="Z280">
        <v>146.5</v>
      </c>
      <c r="AA280">
        <v>158.5</v>
      </c>
      <c r="AB280">
        <v>157</v>
      </c>
      <c r="AC280">
        <v>150.4</v>
      </c>
      <c r="AD280">
        <v>156.4</v>
      </c>
    </row>
    <row r="281" spans="1:30">
      <c r="A281" t="s">
        <v>30</v>
      </c>
      <c r="B281">
        <v>2020</v>
      </c>
      <c r="C281" t="s">
        <v>53</v>
      </c>
      <c r="D281">
        <v>145.4</v>
      </c>
      <c r="E281">
        <v>188.6</v>
      </c>
      <c r="F281">
        <v>171.6</v>
      </c>
      <c r="G281">
        <v>153.80000000000001</v>
      </c>
      <c r="H281">
        <v>145.4</v>
      </c>
      <c r="I281">
        <v>146.5</v>
      </c>
      <c r="J281">
        <v>222.2</v>
      </c>
      <c r="K281">
        <v>155.9</v>
      </c>
      <c r="L281">
        <v>114.9</v>
      </c>
      <c r="M281">
        <v>162</v>
      </c>
      <c r="N281">
        <v>150</v>
      </c>
      <c r="O281">
        <v>162.69999999999999</v>
      </c>
      <c r="P281">
        <v>163.4</v>
      </c>
      <c r="Q281">
        <v>183.4</v>
      </c>
      <c r="R281">
        <v>156.30000000000001</v>
      </c>
      <c r="S281">
        <v>151</v>
      </c>
      <c r="T281">
        <v>155.5</v>
      </c>
      <c r="U281" t="s">
        <v>32</v>
      </c>
      <c r="V281">
        <v>147.5</v>
      </c>
      <c r="W281">
        <v>152.80000000000001</v>
      </c>
      <c r="X281">
        <v>160.4</v>
      </c>
      <c r="Y281">
        <v>146.1</v>
      </c>
      <c r="Z281">
        <v>153.6</v>
      </c>
      <c r="AA281">
        <v>161.6</v>
      </c>
      <c r="AB281">
        <v>156.19999999999999</v>
      </c>
      <c r="AC281">
        <v>154.5</v>
      </c>
      <c r="AD281">
        <v>159.80000000000001</v>
      </c>
    </row>
    <row r="282" spans="1:30">
      <c r="A282" t="s">
        <v>33</v>
      </c>
      <c r="B282">
        <v>2020</v>
      </c>
      <c r="C282" t="s">
        <v>53</v>
      </c>
      <c r="D282">
        <v>149.69999999999999</v>
      </c>
      <c r="E282">
        <v>195.5</v>
      </c>
      <c r="F282">
        <v>176.9</v>
      </c>
      <c r="G282">
        <v>153.9</v>
      </c>
      <c r="H282">
        <v>138</v>
      </c>
      <c r="I282">
        <v>150.5</v>
      </c>
      <c r="J282">
        <v>245.3</v>
      </c>
      <c r="K282">
        <v>158.69999999999999</v>
      </c>
      <c r="L282">
        <v>117.2</v>
      </c>
      <c r="M282">
        <v>161.4</v>
      </c>
      <c r="N282">
        <v>141.5</v>
      </c>
      <c r="O282">
        <v>165.1</v>
      </c>
      <c r="P282">
        <v>167</v>
      </c>
      <c r="Q282">
        <v>188.8</v>
      </c>
      <c r="R282">
        <v>151.1</v>
      </c>
      <c r="S282">
        <v>136.4</v>
      </c>
      <c r="T282">
        <v>148.80000000000001</v>
      </c>
      <c r="U282" t="s">
        <v>135</v>
      </c>
      <c r="V282">
        <v>137.30000000000001</v>
      </c>
      <c r="W282">
        <v>145.1</v>
      </c>
      <c r="X282">
        <v>152</v>
      </c>
      <c r="Y282">
        <v>135.19999999999999</v>
      </c>
      <c r="Z282">
        <v>144.4</v>
      </c>
      <c r="AA282">
        <v>156.4</v>
      </c>
      <c r="AB282">
        <v>157.9</v>
      </c>
      <c r="AC282">
        <v>146.6</v>
      </c>
      <c r="AD282">
        <v>156.69999999999999</v>
      </c>
    </row>
    <row r="283" spans="1:30">
      <c r="A283" t="s">
        <v>35</v>
      </c>
      <c r="B283">
        <v>2020</v>
      </c>
      <c r="C283" t="s">
        <v>53</v>
      </c>
      <c r="D283">
        <v>146.80000000000001</v>
      </c>
      <c r="E283">
        <v>191</v>
      </c>
      <c r="F283">
        <v>173.6</v>
      </c>
      <c r="G283">
        <v>153.80000000000001</v>
      </c>
      <c r="H283">
        <v>142.69999999999999</v>
      </c>
      <c r="I283">
        <v>148.4</v>
      </c>
      <c r="J283">
        <v>230</v>
      </c>
      <c r="K283">
        <v>156.80000000000001</v>
      </c>
      <c r="L283">
        <v>115.7</v>
      </c>
      <c r="M283">
        <v>161.80000000000001</v>
      </c>
      <c r="N283">
        <v>146.5</v>
      </c>
      <c r="O283">
        <v>163.80000000000001</v>
      </c>
      <c r="P283">
        <v>164.7</v>
      </c>
      <c r="Q283">
        <v>184.8</v>
      </c>
      <c r="R283">
        <v>154.30000000000001</v>
      </c>
      <c r="S283">
        <v>144.9</v>
      </c>
      <c r="T283">
        <v>152.80000000000001</v>
      </c>
      <c r="U283" t="s">
        <v>135</v>
      </c>
      <c r="V283">
        <v>143.6</v>
      </c>
      <c r="W283">
        <v>149.19999999999999</v>
      </c>
      <c r="X283">
        <v>157.19999999999999</v>
      </c>
      <c r="Y283">
        <v>140.4</v>
      </c>
      <c r="Z283">
        <v>148.4</v>
      </c>
      <c r="AA283">
        <v>158.6</v>
      </c>
      <c r="AB283">
        <v>156.9</v>
      </c>
      <c r="AC283">
        <v>150.69999999999999</v>
      </c>
      <c r="AD283">
        <v>158.4</v>
      </c>
    </row>
    <row r="284" spans="1:30">
      <c r="A284" t="s">
        <v>30</v>
      </c>
      <c r="B284">
        <v>2020</v>
      </c>
      <c r="C284" t="s">
        <v>55</v>
      </c>
      <c r="D284">
        <v>144.6</v>
      </c>
      <c r="E284">
        <v>188.5</v>
      </c>
      <c r="F284">
        <v>173.4</v>
      </c>
      <c r="G284">
        <v>154</v>
      </c>
      <c r="H284">
        <v>150</v>
      </c>
      <c r="I284">
        <v>145.9</v>
      </c>
      <c r="J284">
        <v>225.2</v>
      </c>
      <c r="K284">
        <v>159.5</v>
      </c>
      <c r="L284">
        <v>114.4</v>
      </c>
      <c r="M284">
        <v>163.5</v>
      </c>
      <c r="N284">
        <v>153.4</v>
      </c>
      <c r="O284">
        <v>163.6</v>
      </c>
      <c r="P284">
        <v>164.5</v>
      </c>
      <c r="Q284">
        <v>183.6</v>
      </c>
      <c r="R284">
        <v>157</v>
      </c>
      <c r="S284">
        <v>151.6</v>
      </c>
      <c r="T284">
        <v>156.30000000000001</v>
      </c>
      <c r="U284" t="s">
        <v>32</v>
      </c>
      <c r="V284">
        <v>148.69999999999999</v>
      </c>
      <c r="W284">
        <v>153.4</v>
      </c>
      <c r="X284">
        <v>161.6</v>
      </c>
      <c r="Y284">
        <v>146.4</v>
      </c>
      <c r="Z284">
        <v>153.9</v>
      </c>
      <c r="AA284">
        <v>162.9</v>
      </c>
      <c r="AB284">
        <v>156.6</v>
      </c>
      <c r="AC284">
        <v>155.19999999999999</v>
      </c>
      <c r="AD284">
        <v>160.69999999999999</v>
      </c>
    </row>
    <row r="285" spans="1:30">
      <c r="A285" t="s">
        <v>33</v>
      </c>
      <c r="B285">
        <v>2020</v>
      </c>
      <c r="C285" t="s">
        <v>55</v>
      </c>
      <c r="D285">
        <v>149</v>
      </c>
      <c r="E285">
        <v>195.7</v>
      </c>
      <c r="F285">
        <v>178.3</v>
      </c>
      <c r="G285">
        <v>154.19999999999999</v>
      </c>
      <c r="H285">
        <v>140.69999999999999</v>
      </c>
      <c r="I285">
        <v>149.69999999999999</v>
      </c>
      <c r="J285">
        <v>240.9</v>
      </c>
      <c r="K285">
        <v>161.5</v>
      </c>
      <c r="L285">
        <v>117.1</v>
      </c>
      <c r="M285">
        <v>161.9</v>
      </c>
      <c r="N285">
        <v>143.30000000000001</v>
      </c>
      <c r="O285">
        <v>166.1</v>
      </c>
      <c r="P285">
        <v>167</v>
      </c>
      <c r="Q285">
        <v>190.2</v>
      </c>
      <c r="R285">
        <v>151.9</v>
      </c>
      <c r="S285">
        <v>136.69999999999999</v>
      </c>
      <c r="T285">
        <v>149.6</v>
      </c>
      <c r="U285" t="s">
        <v>136</v>
      </c>
      <c r="V285">
        <v>137.9</v>
      </c>
      <c r="W285">
        <v>145.5</v>
      </c>
      <c r="X285">
        <v>152.9</v>
      </c>
      <c r="Y285">
        <v>135.5</v>
      </c>
      <c r="Z285">
        <v>144.30000000000001</v>
      </c>
      <c r="AA285">
        <v>156.9</v>
      </c>
      <c r="AB285">
        <v>157.9</v>
      </c>
      <c r="AC285">
        <v>146.9</v>
      </c>
      <c r="AD285">
        <v>156.9</v>
      </c>
    </row>
    <row r="286" spans="1:30">
      <c r="A286" t="s">
        <v>35</v>
      </c>
      <c r="B286">
        <v>2020</v>
      </c>
      <c r="C286" t="s">
        <v>55</v>
      </c>
      <c r="D286">
        <v>146</v>
      </c>
      <c r="E286">
        <v>191</v>
      </c>
      <c r="F286">
        <v>175.3</v>
      </c>
      <c r="G286">
        <v>154.1</v>
      </c>
      <c r="H286">
        <v>146.6</v>
      </c>
      <c r="I286">
        <v>147.69999999999999</v>
      </c>
      <c r="J286">
        <v>230.5</v>
      </c>
      <c r="K286">
        <v>160.19999999999999</v>
      </c>
      <c r="L286">
        <v>115.3</v>
      </c>
      <c r="M286">
        <v>163</v>
      </c>
      <c r="N286">
        <v>149.19999999999999</v>
      </c>
      <c r="O286">
        <v>164.8</v>
      </c>
      <c r="P286">
        <v>165.4</v>
      </c>
      <c r="Q286">
        <v>185.4</v>
      </c>
      <c r="R286">
        <v>155</v>
      </c>
      <c r="S286">
        <v>145.4</v>
      </c>
      <c r="T286">
        <v>153.6</v>
      </c>
      <c r="U286" t="s">
        <v>136</v>
      </c>
      <c r="V286">
        <v>144.6</v>
      </c>
      <c r="W286">
        <v>149.69999999999999</v>
      </c>
      <c r="X286">
        <v>158.30000000000001</v>
      </c>
      <c r="Y286">
        <v>140.69999999999999</v>
      </c>
      <c r="Z286">
        <v>148.5</v>
      </c>
      <c r="AA286">
        <v>159.4</v>
      </c>
      <c r="AB286">
        <v>157.1</v>
      </c>
      <c r="AC286">
        <v>151.19999999999999</v>
      </c>
      <c r="AD286">
        <v>158.9</v>
      </c>
    </row>
    <row r="287" spans="1:30">
      <c r="A287" t="s">
        <v>30</v>
      </c>
      <c r="B287">
        <v>2021</v>
      </c>
      <c r="C287" t="s">
        <v>31</v>
      </c>
      <c r="D287">
        <v>143.4</v>
      </c>
      <c r="E287">
        <v>187.5</v>
      </c>
      <c r="F287">
        <v>173.4</v>
      </c>
      <c r="G287">
        <v>154</v>
      </c>
      <c r="H287">
        <v>154.80000000000001</v>
      </c>
      <c r="I287">
        <v>147</v>
      </c>
      <c r="J287">
        <v>187.8</v>
      </c>
      <c r="K287">
        <v>159.5</v>
      </c>
      <c r="L287">
        <v>113.8</v>
      </c>
      <c r="M287">
        <v>164.5</v>
      </c>
      <c r="N287">
        <v>156.1</v>
      </c>
      <c r="O287">
        <v>164.3</v>
      </c>
      <c r="P287">
        <v>159.6</v>
      </c>
      <c r="Q287">
        <v>184.6</v>
      </c>
      <c r="R287">
        <v>157.5</v>
      </c>
      <c r="S287">
        <v>152.4</v>
      </c>
      <c r="T287">
        <v>156.80000000000001</v>
      </c>
      <c r="U287" t="s">
        <v>32</v>
      </c>
      <c r="V287">
        <v>150.9</v>
      </c>
      <c r="W287">
        <v>153.9</v>
      </c>
      <c r="X287">
        <v>162.5</v>
      </c>
      <c r="Y287">
        <v>147.5</v>
      </c>
      <c r="Z287">
        <v>155.1</v>
      </c>
      <c r="AA287">
        <v>163.5</v>
      </c>
      <c r="AB287">
        <v>156.19999999999999</v>
      </c>
      <c r="AC287">
        <v>155.9</v>
      </c>
      <c r="AD287">
        <v>158.5</v>
      </c>
    </row>
    <row r="288" spans="1:30">
      <c r="A288" t="s">
        <v>33</v>
      </c>
      <c r="B288">
        <v>2021</v>
      </c>
      <c r="C288" t="s">
        <v>31</v>
      </c>
      <c r="D288">
        <v>148</v>
      </c>
      <c r="E288">
        <v>194.8</v>
      </c>
      <c r="F288">
        <v>178.4</v>
      </c>
      <c r="G288">
        <v>154.4</v>
      </c>
      <c r="H288">
        <v>144.1</v>
      </c>
      <c r="I288">
        <v>152.6</v>
      </c>
      <c r="J288">
        <v>206.8</v>
      </c>
      <c r="K288">
        <v>162.1</v>
      </c>
      <c r="L288">
        <v>116.3</v>
      </c>
      <c r="M288">
        <v>163</v>
      </c>
      <c r="N288">
        <v>145.9</v>
      </c>
      <c r="O288">
        <v>167.2</v>
      </c>
      <c r="P288">
        <v>163.4</v>
      </c>
      <c r="Q288">
        <v>191.8</v>
      </c>
      <c r="R288">
        <v>152.5</v>
      </c>
      <c r="S288">
        <v>137.30000000000001</v>
      </c>
      <c r="T288">
        <v>150.19999999999999</v>
      </c>
      <c r="U288" t="s">
        <v>137</v>
      </c>
      <c r="V288">
        <v>142.9</v>
      </c>
      <c r="W288">
        <v>145.69999999999999</v>
      </c>
      <c r="X288">
        <v>154.1</v>
      </c>
      <c r="Y288">
        <v>136.9</v>
      </c>
      <c r="Z288">
        <v>145.4</v>
      </c>
      <c r="AA288">
        <v>156.1</v>
      </c>
      <c r="AB288">
        <v>157.69999999999999</v>
      </c>
      <c r="AC288">
        <v>147.6</v>
      </c>
      <c r="AD288">
        <v>156</v>
      </c>
    </row>
    <row r="289" spans="1:30">
      <c r="A289" t="s">
        <v>35</v>
      </c>
      <c r="B289">
        <v>2021</v>
      </c>
      <c r="C289" t="s">
        <v>31</v>
      </c>
      <c r="D289">
        <v>144.9</v>
      </c>
      <c r="E289">
        <v>190.1</v>
      </c>
      <c r="F289">
        <v>175.3</v>
      </c>
      <c r="G289">
        <v>154.1</v>
      </c>
      <c r="H289">
        <v>150.9</v>
      </c>
      <c r="I289">
        <v>149.6</v>
      </c>
      <c r="J289">
        <v>194.2</v>
      </c>
      <c r="K289">
        <v>160.4</v>
      </c>
      <c r="L289">
        <v>114.6</v>
      </c>
      <c r="M289">
        <v>164</v>
      </c>
      <c r="N289">
        <v>151.80000000000001</v>
      </c>
      <c r="O289">
        <v>165.6</v>
      </c>
      <c r="P289">
        <v>161</v>
      </c>
      <c r="Q289">
        <v>186.5</v>
      </c>
      <c r="R289">
        <v>155.5</v>
      </c>
      <c r="S289">
        <v>146.1</v>
      </c>
      <c r="T289">
        <v>154.19999999999999</v>
      </c>
      <c r="U289" t="s">
        <v>137</v>
      </c>
      <c r="V289">
        <v>147.9</v>
      </c>
      <c r="W289">
        <v>150</v>
      </c>
      <c r="X289">
        <v>159.30000000000001</v>
      </c>
      <c r="Y289">
        <v>141.9</v>
      </c>
      <c r="Z289">
        <v>149.6</v>
      </c>
      <c r="AA289">
        <v>159.19999999999999</v>
      </c>
      <c r="AB289">
        <v>156.80000000000001</v>
      </c>
      <c r="AC289">
        <v>151.9</v>
      </c>
      <c r="AD289">
        <v>157.30000000000001</v>
      </c>
    </row>
    <row r="290" spans="1:30">
      <c r="A290" t="s">
        <v>30</v>
      </c>
      <c r="B290">
        <v>2021</v>
      </c>
      <c r="C290" t="s">
        <v>36</v>
      </c>
      <c r="D290">
        <v>142.80000000000001</v>
      </c>
      <c r="E290">
        <v>184</v>
      </c>
      <c r="F290">
        <v>168</v>
      </c>
      <c r="G290">
        <v>154.4</v>
      </c>
      <c r="H290">
        <v>163</v>
      </c>
      <c r="I290">
        <v>147.80000000000001</v>
      </c>
      <c r="J290">
        <v>149.69999999999999</v>
      </c>
      <c r="K290">
        <v>158.30000000000001</v>
      </c>
      <c r="L290">
        <v>111.8</v>
      </c>
      <c r="M290">
        <v>165</v>
      </c>
      <c r="N290">
        <v>160</v>
      </c>
      <c r="O290">
        <v>165.8</v>
      </c>
      <c r="P290">
        <v>154.69999999999999</v>
      </c>
      <c r="Q290">
        <v>186.5</v>
      </c>
      <c r="R290">
        <v>159.1</v>
      </c>
      <c r="S290">
        <v>153.9</v>
      </c>
      <c r="T290">
        <v>158.4</v>
      </c>
      <c r="U290" t="s">
        <v>32</v>
      </c>
      <c r="V290">
        <v>154.4</v>
      </c>
      <c r="W290">
        <v>154.80000000000001</v>
      </c>
      <c r="X290">
        <v>164.3</v>
      </c>
      <c r="Y290">
        <v>150.19999999999999</v>
      </c>
      <c r="Z290">
        <v>157</v>
      </c>
      <c r="AA290">
        <v>163.6</v>
      </c>
      <c r="AB290">
        <v>155.19999999999999</v>
      </c>
      <c r="AC290">
        <v>157.19999999999999</v>
      </c>
      <c r="AD290">
        <v>156.69999999999999</v>
      </c>
    </row>
    <row r="291" spans="1:30">
      <c r="A291" t="s">
        <v>33</v>
      </c>
      <c r="B291">
        <v>2021</v>
      </c>
      <c r="C291" t="s">
        <v>36</v>
      </c>
      <c r="D291">
        <v>147.6</v>
      </c>
      <c r="E291">
        <v>191.2</v>
      </c>
      <c r="F291">
        <v>169.9</v>
      </c>
      <c r="G291">
        <v>155.1</v>
      </c>
      <c r="H291">
        <v>151.4</v>
      </c>
      <c r="I291">
        <v>154</v>
      </c>
      <c r="J291">
        <v>180.2</v>
      </c>
      <c r="K291">
        <v>159.80000000000001</v>
      </c>
      <c r="L291">
        <v>114.9</v>
      </c>
      <c r="M291">
        <v>162.5</v>
      </c>
      <c r="N291">
        <v>149.19999999999999</v>
      </c>
      <c r="O291">
        <v>169.4</v>
      </c>
      <c r="P291">
        <v>160.80000000000001</v>
      </c>
      <c r="Q291">
        <v>193.3</v>
      </c>
      <c r="R291">
        <v>154.19999999999999</v>
      </c>
      <c r="S291">
        <v>138.19999999999999</v>
      </c>
      <c r="T291">
        <v>151.80000000000001</v>
      </c>
      <c r="U291" t="s">
        <v>138</v>
      </c>
      <c r="V291">
        <v>149.1</v>
      </c>
      <c r="W291">
        <v>146.5</v>
      </c>
      <c r="X291">
        <v>156.30000000000001</v>
      </c>
      <c r="Y291">
        <v>140.5</v>
      </c>
      <c r="Z291">
        <v>147.30000000000001</v>
      </c>
      <c r="AA291">
        <v>156.6</v>
      </c>
      <c r="AB291">
        <v>156.69999999999999</v>
      </c>
      <c r="AC291">
        <v>149.30000000000001</v>
      </c>
      <c r="AD291">
        <v>156.5</v>
      </c>
    </row>
    <row r="292" spans="1:30">
      <c r="A292" t="s">
        <v>35</v>
      </c>
      <c r="B292">
        <v>2021</v>
      </c>
      <c r="C292" t="s">
        <v>36</v>
      </c>
      <c r="D292">
        <v>144.30000000000001</v>
      </c>
      <c r="E292">
        <v>186.5</v>
      </c>
      <c r="F292">
        <v>168.7</v>
      </c>
      <c r="G292">
        <v>154.69999999999999</v>
      </c>
      <c r="H292">
        <v>158.69999999999999</v>
      </c>
      <c r="I292">
        <v>150.69999999999999</v>
      </c>
      <c r="J292">
        <v>160</v>
      </c>
      <c r="K292">
        <v>158.80000000000001</v>
      </c>
      <c r="L292">
        <v>112.8</v>
      </c>
      <c r="M292">
        <v>164.2</v>
      </c>
      <c r="N292">
        <v>155.5</v>
      </c>
      <c r="O292">
        <v>167.5</v>
      </c>
      <c r="P292">
        <v>156.9</v>
      </c>
      <c r="Q292">
        <v>188.3</v>
      </c>
      <c r="R292">
        <v>157.19999999999999</v>
      </c>
      <c r="S292">
        <v>147.4</v>
      </c>
      <c r="T292">
        <v>155.80000000000001</v>
      </c>
      <c r="U292" t="s">
        <v>138</v>
      </c>
      <c r="V292">
        <v>152.4</v>
      </c>
      <c r="W292">
        <v>150.9</v>
      </c>
      <c r="X292">
        <v>161.30000000000001</v>
      </c>
      <c r="Y292">
        <v>145.1</v>
      </c>
      <c r="Z292">
        <v>151.5</v>
      </c>
      <c r="AA292">
        <v>159.5</v>
      </c>
      <c r="AB292">
        <v>155.80000000000001</v>
      </c>
      <c r="AC292">
        <v>153.4</v>
      </c>
      <c r="AD292">
        <v>156.6</v>
      </c>
    </row>
    <row r="293" spans="1:30">
      <c r="A293" t="s">
        <v>30</v>
      </c>
      <c r="B293">
        <v>2021</v>
      </c>
      <c r="C293" t="s">
        <v>38</v>
      </c>
      <c r="D293">
        <v>142.5</v>
      </c>
      <c r="E293">
        <v>189.4</v>
      </c>
      <c r="F293">
        <v>163.19999999999999</v>
      </c>
      <c r="G293">
        <v>154.5</v>
      </c>
      <c r="H293">
        <v>168.2</v>
      </c>
      <c r="I293">
        <v>150.5</v>
      </c>
      <c r="J293">
        <v>141</v>
      </c>
      <c r="K293">
        <v>159.19999999999999</v>
      </c>
      <c r="L293">
        <v>111.7</v>
      </c>
      <c r="M293">
        <v>164</v>
      </c>
      <c r="N293">
        <v>160.6</v>
      </c>
      <c r="O293">
        <v>166.4</v>
      </c>
      <c r="P293">
        <v>154.5</v>
      </c>
      <c r="Q293">
        <v>186.1</v>
      </c>
      <c r="R293">
        <v>159.6</v>
      </c>
      <c r="S293">
        <v>154.4</v>
      </c>
      <c r="T293">
        <v>158.9</v>
      </c>
      <c r="U293" t="s">
        <v>139</v>
      </c>
      <c r="V293">
        <v>156</v>
      </c>
      <c r="W293">
        <v>154.80000000000001</v>
      </c>
      <c r="X293">
        <v>164.6</v>
      </c>
      <c r="Y293">
        <v>151.30000000000001</v>
      </c>
      <c r="Z293">
        <v>157.80000000000001</v>
      </c>
      <c r="AA293">
        <v>163.80000000000001</v>
      </c>
      <c r="AB293">
        <v>153.1</v>
      </c>
      <c r="AC293">
        <v>157.30000000000001</v>
      </c>
      <c r="AD293">
        <v>156.69999999999999</v>
      </c>
    </row>
    <row r="294" spans="1:30">
      <c r="A294" t="s">
        <v>33</v>
      </c>
      <c r="B294">
        <v>2021</v>
      </c>
      <c r="C294" t="s">
        <v>38</v>
      </c>
      <c r="D294">
        <v>147.5</v>
      </c>
      <c r="E294">
        <v>197.5</v>
      </c>
      <c r="F294">
        <v>164.7</v>
      </c>
      <c r="G294">
        <v>155.6</v>
      </c>
      <c r="H294">
        <v>156.4</v>
      </c>
      <c r="I294">
        <v>157.30000000000001</v>
      </c>
      <c r="J294">
        <v>166.1</v>
      </c>
      <c r="K294">
        <v>161.1</v>
      </c>
      <c r="L294">
        <v>114.3</v>
      </c>
      <c r="M294">
        <v>162.6</v>
      </c>
      <c r="N294">
        <v>150.69999999999999</v>
      </c>
      <c r="O294">
        <v>170.3</v>
      </c>
      <c r="P294">
        <v>160.4</v>
      </c>
      <c r="Q294">
        <v>193.5</v>
      </c>
      <c r="R294">
        <v>155.1</v>
      </c>
      <c r="S294">
        <v>138.69999999999999</v>
      </c>
      <c r="T294">
        <v>152.6</v>
      </c>
      <c r="U294" t="s">
        <v>140</v>
      </c>
      <c r="V294">
        <v>154.80000000000001</v>
      </c>
      <c r="W294">
        <v>147.19999999999999</v>
      </c>
      <c r="X294">
        <v>156.9</v>
      </c>
      <c r="Y294">
        <v>141.69999999999999</v>
      </c>
      <c r="Z294">
        <v>148.6</v>
      </c>
      <c r="AA294">
        <v>157.6</v>
      </c>
      <c r="AB294">
        <v>154.9</v>
      </c>
      <c r="AC294">
        <v>150</v>
      </c>
      <c r="AD294">
        <v>156.9</v>
      </c>
    </row>
    <row r="295" spans="1:30">
      <c r="A295" t="s">
        <v>35</v>
      </c>
      <c r="B295">
        <v>2021</v>
      </c>
      <c r="C295" t="s">
        <v>38</v>
      </c>
      <c r="D295">
        <v>144.1</v>
      </c>
      <c r="E295">
        <v>192.2</v>
      </c>
      <c r="F295">
        <v>163.80000000000001</v>
      </c>
      <c r="G295">
        <v>154.9</v>
      </c>
      <c r="H295">
        <v>163.9</v>
      </c>
      <c r="I295">
        <v>153.69999999999999</v>
      </c>
      <c r="J295">
        <v>149.5</v>
      </c>
      <c r="K295">
        <v>159.80000000000001</v>
      </c>
      <c r="L295">
        <v>112.6</v>
      </c>
      <c r="M295">
        <v>163.5</v>
      </c>
      <c r="N295">
        <v>156.5</v>
      </c>
      <c r="O295">
        <v>168.2</v>
      </c>
      <c r="P295">
        <v>156.69999999999999</v>
      </c>
      <c r="Q295">
        <v>188.1</v>
      </c>
      <c r="R295">
        <v>157.80000000000001</v>
      </c>
      <c r="S295">
        <v>147.9</v>
      </c>
      <c r="T295">
        <v>156.4</v>
      </c>
      <c r="U295" t="s">
        <v>140</v>
      </c>
      <c r="V295">
        <v>155.5</v>
      </c>
      <c r="W295">
        <v>151.19999999999999</v>
      </c>
      <c r="X295">
        <v>161.69999999999999</v>
      </c>
      <c r="Y295">
        <v>146.19999999999999</v>
      </c>
      <c r="Z295">
        <v>152.6</v>
      </c>
      <c r="AA295">
        <v>160.19999999999999</v>
      </c>
      <c r="AB295">
        <v>153.80000000000001</v>
      </c>
      <c r="AC295">
        <v>153.80000000000001</v>
      </c>
      <c r="AD295">
        <v>156.80000000000001</v>
      </c>
    </row>
    <row r="296" spans="1:30">
      <c r="A296" t="s">
        <v>30</v>
      </c>
      <c r="B296">
        <v>2021</v>
      </c>
      <c r="C296" t="s">
        <v>39</v>
      </c>
      <c r="D296">
        <v>142.69999999999999</v>
      </c>
      <c r="E296">
        <v>195.5</v>
      </c>
      <c r="F296">
        <v>163.4</v>
      </c>
      <c r="G296">
        <v>155</v>
      </c>
      <c r="H296">
        <v>175.2</v>
      </c>
      <c r="I296">
        <v>160.6</v>
      </c>
      <c r="J296">
        <v>135.1</v>
      </c>
      <c r="K296">
        <v>161.1</v>
      </c>
      <c r="L296">
        <v>112.2</v>
      </c>
      <c r="M296">
        <v>164.4</v>
      </c>
      <c r="N296">
        <v>161.9</v>
      </c>
      <c r="O296">
        <v>166.8</v>
      </c>
      <c r="P296">
        <v>155.6</v>
      </c>
      <c r="Q296">
        <v>186.8</v>
      </c>
      <c r="R296">
        <v>160.69999999999999</v>
      </c>
      <c r="S296">
        <v>155.1</v>
      </c>
      <c r="T296">
        <v>159.9</v>
      </c>
      <c r="U296" t="s">
        <v>139</v>
      </c>
      <c r="V296">
        <v>156</v>
      </c>
      <c r="W296">
        <v>155.5</v>
      </c>
      <c r="X296">
        <v>165.3</v>
      </c>
      <c r="Y296">
        <v>151.69999999999999</v>
      </c>
      <c r="Z296">
        <v>158.6</v>
      </c>
      <c r="AA296">
        <v>164.1</v>
      </c>
      <c r="AB296">
        <v>154.6</v>
      </c>
      <c r="AC296">
        <v>158</v>
      </c>
      <c r="AD296">
        <v>157.6</v>
      </c>
    </row>
    <row r="297" spans="1:30">
      <c r="A297" t="s">
        <v>33</v>
      </c>
      <c r="B297">
        <v>2021</v>
      </c>
      <c r="C297" t="s">
        <v>39</v>
      </c>
      <c r="D297">
        <v>147.6</v>
      </c>
      <c r="E297">
        <v>202.5</v>
      </c>
      <c r="F297">
        <v>166.4</v>
      </c>
      <c r="G297">
        <v>156</v>
      </c>
      <c r="H297">
        <v>161.4</v>
      </c>
      <c r="I297">
        <v>168.8</v>
      </c>
      <c r="J297">
        <v>161.6</v>
      </c>
      <c r="K297">
        <v>162.80000000000001</v>
      </c>
      <c r="L297">
        <v>114.8</v>
      </c>
      <c r="M297">
        <v>162.80000000000001</v>
      </c>
      <c r="N297">
        <v>151.5</v>
      </c>
      <c r="O297">
        <v>171.4</v>
      </c>
      <c r="P297">
        <v>162</v>
      </c>
      <c r="Q297">
        <v>194.4</v>
      </c>
      <c r="R297">
        <v>155.9</v>
      </c>
      <c r="S297">
        <v>139.30000000000001</v>
      </c>
      <c r="T297">
        <v>153.4</v>
      </c>
      <c r="U297" t="s">
        <v>141</v>
      </c>
      <c r="V297">
        <v>154.9</v>
      </c>
      <c r="W297">
        <v>147.6</v>
      </c>
      <c r="X297">
        <v>157.5</v>
      </c>
      <c r="Y297">
        <v>142.1</v>
      </c>
      <c r="Z297">
        <v>149.1</v>
      </c>
      <c r="AA297">
        <v>157.6</v>
      </c>
      <c r="AB297">
        <v>156.6</v>
      </c>
      <c r="AC297">
        <v>150.5</v>
      </c>
      <c r="AD297">
        <v>158</v>
      </c>
    </row>
    <row r="298" spans="1:30">
      <c r="A298" t="s">
        <v>35</v>
      </c>
      <c r="B298">
        <v>2021</v>
      </c>
      <c r="C298" t="s">
        <v>39</v>
      </c>
      <c r="D298">
        <v>144.30000000000001</v>
      </c>
      <c r="E298">
        <v>198</v>
      </c>
      <c r="F298">
        <v>164.6</v>
      </c>
      <c r="G298">
        <v>155.4</v>
      </c>
      <c r="H298">
        <v>170.1</v>
      </c>
      <c r="I298">
        <v>164.4</v>
      </c>
      <c r="J298">
        <v>144.1</v>
      </c>
      <c r="K298">
        <v>161.69999999999999</v>
      </c>
      <c r="L298">
        <v>113.1</v>
      </c>
      <c r="M298">
        <v>163.9</v>
      </c>
      <c r="N298">
        <v>157.6</v>
      </c>
      <c r="O298">
        <v>168.9</v>
      </c>
      <c r="P298">
        <v>158</v>
      </c>
      <c r="Q298">
        <v>188.8</v>
      </c>
      <c r="R298">
        <v>158.80000000000001</v>
      </c>
      <c r="S298">
        <v>148.5</v>
      </c>
      <c r="T298">
        <v>157.30000000000001</v>
      </c>
      <c r="U298" t="s">
        <v>141</v>
      </c>
      <c r="V298">
        <v>155.6</v>
      </c>
      <c r="W298">
        <v>151.80000000000001</v>
      </c>
      <c r="X298">
        <v>162.30000000000001</v>
      </c>
      <c r="Y298">
        <v>146.6</v>
      </c>
      <c r="Z298">
        <v>153.19999999999999</v>
      </c>
      <c r="AA298">
        <v>160.30000000000001</v>
      </c>
      <c r="AB298">
        <v>155.4</v>
      </c>
      <c r="AC298">
        <v>154.4</v>
      </c>
      <c r="AD298">
        <v>157.80000000000001</v>
      </c>
    </row>
    <row r="299" spans="1:30">
      <c r="A299" t="s">
        <v>30</v>
      </c>
      <c r="B299">
        <v>2021</v>
      </c>
      <c r="C299" t="s">
        <v>41</v>
      </c>
      <c r="D299">
        <v>145.1</v>
      </c>
      <c r="E299">
        <v>198.5</v>
      </c>
      <c r="F299">
        <v>168.6</v>
      </c>
      <c r="G299">
        <v>155.80000000000001</v>
      </c>
      <c r="H299">
        <v>184.4</v>
      </c>
      <c r="I299">
        <v>162.30000000000001</v>
      </c>
      <c r="J299">
        <v>138.4</v>
      </c>
      <c r="K299">
        <v>165.1</v>
      </c>
      <c r="L299">
        <v>114.3</v>
      </c>
      <c r="M299">
        <v>169.7</v>
      </c>
      <c r="N299">
        <v>164.6</v>
      </c>
      <c r="O299">
        <v>169.8</v>
      </c>
      <c r="P299">
        <v>158.69999999999999</v>
      </c>
      <c r="Q299">
        <v>189.6</v>
      </c>
      <c r="R299">
        <v>165.3</v>
      </c>
      <c r="S299">
        <v>160.6</v>
      </c>
      <c r="T299">
        <v>164.5</v>
      </c>
      <c r="U299" t="s">
        <v>32</v>
      </c>
      <c r="V299">
        <v>161.69999999999999</v>
      </c>
      <c r="W299">
        <v>158.80000000000001</v>
      </c>
      <c r="X299">
        <v>169.1</v>
      </c>
      <c r="Y299">
        <v>153.19999999999999</v>
      </c>
      <c r="Z299">
        <v>160</v>
      </c>
      <c r="AA299">
        <v>167.6</v>
      </c>
      <c r="AB299">
        <v>159.30000000000001</v>
      </c>
      <c r="AC299">
        <v>161.1</v>
      </c>
      <c r="AD299">
        <v>161.1</v>
      </c>
    </row>
    <row r="300" spans="1:30">
      <c r="A300" t="s">
        <v>33</v>
      </c>
      <c r="B300">
        <v>2021</v>
      </c>
      <c r="C300" t="s">
        <v>41</v>
      </c>
      <c r="D300">
        <v>148.80000000000001</v>
      </c>
      <c r="E300">
        <v>204.3</v>
      </c>
      <c r="F300">
        <v>173</v>
      </c>
      <c r="G300">
        <v>156.5</v>
      </c>
      <c r="H300">
        <v>168.8</v>
      </c>
      <c r="I300">
        <v>172.5</v>
      </c>
      <c r="J300">
        <v>166.5</v>
      </c>
      <c r="K300">
        <v>165.9</v>
      </c>
      <c r="L300">
        <v>115.9</v>
      </c>
      <c r="M300">
        <v>165.2</v>
      </c>
      <c r="N300">
        <v>152</v>
      </c>
      <c r="O300">
        <v>171.1</v>
      </c>
      <c r="P300">
        <v>164.2</v>
      </c>
      <c r="Q300">
        <v>198.2</v>
      </c>
      <c r="R300">
        <v>156.5</v>
      </c>
      <c r="S300">
        <v>140.19999999999999</v>
      </c>
      <c r="T300">
        <v>154.1</v>
      </c>
      <c r="U300" t="s">
        <v>142</v>
      </c>
      <c r="V300">
        <v>155.5</v>
      </c>
      <c r="W300">
        <v>150.1</v>
      </c>
      <c r="X300">
        <v>160.4</v>
      </c>
      <c r="Y300">
        <v>145</v>
      </c>
      <c r="Z300">
        <v>152.6</v>
      </c>
      <c r="AA300">
        <v>156.6</v>
      </c>
      <c r="AB300">
        <v>157.5</v>
      </c>
      <c r="AC300">
        <v>152.30000000000001</v>
      </c>
      <c r="AD300">
        <v>159.5</v>
      </c>
    </row>
    <row r="301" spans="1:30">
      <c r="A301" t="s">
        <v>35</v>
      </c>
      <c r="B301">
        <v>2021</v>
      </c>
      <c r="C301" t="s">
        <v>41</v>
      </c>
      <c r="D301">
        <v>146.30000000000001</v>
      </c>
      <c r="E301">
        <v>200.5</v>
      </c>
      <c r="F301">
        <v>170.3</v>
      </c>
      <c r="G301">
        <v>156.1</v>
      </c>
      <c r="H301">
        <v>178.7</v>
      </c>
      <c r="I301">
        <v>167.1</v>
      </c>
      <c r="J301">
        <v>147.9</v>
      </c>
      <c r="K301">
        <v>165.4</v>
      </c>
      <c r="L301">
        <v>114.8</v>
      </c>
      <c r="M301">
        <v>168.2</v>
      </c>
      <c r="N301">
        <v>159.30000000000001</v>
      </c>
      <c r="O301">
        <v>170.4</v>
      </c>
      <c r="P301">
        <v>160.69999999999999</v>
      </c>
      <c r="Q301">
        <v>191.9</v>
      </c>
      <c r="R301">
        <v>161.80000000000001</v>
      </c>
      <c r="S301">
        <v>152.1</v>
      </c>
      <c r="T301">
        <v>160.4</v>
      </c>
      <c r="U301" t="s">
        <v>142</v>
      </c>
      <c r="V301">
        <v>159.4</v>
      </c>
      <c r="W301">
        <v>154.69999999999999</v>
      </c>
      <c r="X301">
        <v>165.8</v>
      </c>
      <c r="Y301">
        <v>148.9</v>
      </c>
      <c r="Z301">
        <v>155.80000000000001</v>
      </c>
      <c r="AA301">
        <v>161.19999999999999</v>
      </c>
      <c r="AB301">
        <v>158.6</v>
      </c>
      <c r="AC301">
        <v>156.80000000000001</v>
      </c>
      <c r="AD301">
        <v>160.4</v>
      </c>
    </row>
    <row r="302" spans="1:30">
      <c r="A302" t="s">
        <v>30</v>
      </c>
      <c r="B302">
        <v>2021</v>
      </c>
      <c r="C302" t="s">
        <v>42</v>
      </c>
      <c r="D302">
        <v>145.6</v>
      </c>
      <c r="E302">
        <v>200.1</v>
      </c>
      <c r="F302">
        <v>179.3</v>
      </c>
      <c r="G302">
        <v>156.1</v>
      </c>
      <c r="H302">
        <v>190.4</v>
      </c>
      <c r="I302">
        <v>158.6</v>
      </c>
      <c r="J302">
        <v>144.69999999999999</v>
      </c>
      <c r="K302">
        <v>165.5</v>
      </c>
      <c r="L302">
        <v>114.6</v>
      </c>
      <c r="M302">
        <v>170</v>
      </c>
      <c r="N302">
        <v>165.5</v>
      </c>
      <c r="O302">
        <v>171.7</v>
      </c>
      <c r="P302">
        <v>160.5</v>
      </c>
      <c r="Q302">
        <v>189.1</v>
      </c>
      <c r="R302">
        <v>165.3</v>
      </c>
      <c r="S302">
        <v>159.9</v>
      </c>
      <c r="T302">
        <v>164.6</v>
      </c>
      <c r="U302" t="s">
        <v>32</v>
      </c>
      <c r="V302">
        <v>162.1</v>
      </c>
      <c r="W302">
        <v>159.19999999999999</v>
      </c>
      <c r="X302">
        <v>169.7</v>
      </c>
      <c r="Y302">
        <v>154.19999999999999</v>
      </c>
      <c r="Z302">
        <v>160.4</v>
      </c>
      <c r="AA302">
        <v>166.8</v>
      </c>
      <c r="AB302">
        <v>159.4</v>
      </c>
      <c r="AC302">
        <v>161.5</v>
      </c>
      <c r="AD302">
        <v>162.1</v>
      </c>
    </row>
    <row r="303" spans="1:30">
      <c r="A303" t="s">
        <v>33</v>
      </c>
      <c r="B303">
        <v>2021</v>
      </c>
      <c r="C303" t="s">
        <v>42</v>
      </c>
      <c r="D303">
        <v>149.19999999999999</v>
      </c>
      <c r="E303">
        <v>205.5</v>
      </c>
      <c r="F303">
        <v>182.8</v>
      </c>
      <c r="G303">
        <v>156.5</v>
      </c>
      <c r="H303">
        <v>172.2</v>
      </c>
      <c r="I303">
        <v>171.5</v>
      </c>
      <c r="J303">
        <v>176.2</v>
      </c>
      <c r="K303">
        <v>166.9</v>
      </c>
      <c r="L303">
        <v>116.1</v>
      </c>
      <c r="M303">
        <v>165.5</v>
      </c>
      <c r="N303">
        <v>152.30000000000001</v>
      </c>
      <c r="O303">
        <v>173.3</v>
      </c>
      <c r="P303">
        <v>166.2</v>
      </c>
      <c r="Q303">
        <v>195.6</v>
      </c>
      <c r="R303">
        <v>157.30000000000001</v>
      </c>
      <c r="S303">
        <v>140.5</v>
      </c>
      <c r="T303">
        <v>154.80000000000001</v>
      </c>
      <c r="U303" t="s">
        <v>143</v>
      </c>
      <c r="V303">
        <v>156.1</v>
      </c>
      <c r="W303">
        <v>149.80000000000001</v>
      </c>
      <c r="X303">
        <v>160.80000000000001</v>
      </c>
      <c r="Y303">
        <v>147.5</v>
      </c>
      <c r="Z303">
        <v>150.69999999999999</v>
      </c>
      <c r="AA303">
        <v>158.1</v>
      </c>
      <c r="AB303">
        <v>158</v>
      </c>
      <c r="AC303">
        <v>153.4</v>
      </c>
      <c r="AD303">
        <v>160.4</v>
      </c>
    </row>
    <row r="304" spans="1:30">
      <c r="A304" t="s">
        <v>35</v>
      </c>
      <c r="B304">
        <v>2021</v>
      </c>
      <c r="C304" t="s">
        <v>42</v>
      </c>
      <c r="D304">
        <v>146.69999999999999</v>
      </c>
      <c r="E304">
        <v>202</v>
      </c>
      <c r="F304">
        <v>180.7</v>
      </c>
      <c r="G304">
        <v>156.19999999999999</v>
      </c>
      <c r="H304">
        <v>183.7</v>
      </c>
      <c r="I304">
        <v>164.6</v>
      </c>
      <c r="J304">
        <v>155.4</v>
      </c>
      <c r="K304">
        <v>166</v>
      </c>
      <c r="L304">
        <v>115.1</v>
      </c>
      <c r="M304">
        <v>168.5</v>
      </c>
      <c r="N304">
        <v>160</v>
      </c>
      <c r="O304">
        <v>172.4</v>
      </c>
      <c r="P304">
        <v>162.6</v>
      </c>
      <c r="Q304">
        <v>190.8</v>
      </c>
      <c r="R304">
        <v>162.19999999999999</v>
      </c>
      <c r="S304">
        <v>151.80000000000001</v>
      </c>
      <c r="T304">
        <v>160.69999999999999</v>
      </c>
      <c r="U304" t="s">
        <v>143</v>
      </c>
      <c r="V304">
        <v>159.80000000000001</v>
      </c>
      <c r="W304">
        <v>154.80000000000001</v>
      </c>
      <c r="X304">
        <v>166.3</v>
      </c>
      <c r="Y304">
        <v>150.69999999999999</v>
      </c>
      <c r="Z304">
        <v>154.9</v>
      </c>
      <c r="AA304">
        <v>161.69999999999999</v>
      </c>
      <c r="AB304">
        <v>158.80000000000001</v>
      </c>
      <c r="AC304">
        <v>157.6</v>
      </c>
      <c r="AD304">
        <v>161.30000000000001</v>
      </c>
    </row>
    <row r="305" spans="1:30">
      <c r="A305" t="s">
        <v>30</v>
      </c>
      <c r="B305">
        <v>2021</v>
      </c>
      <c r="C305" t="s">
        <v>44</v>
      </c>
      <c r="D305">
        <v>145.1</v>
      </c>
      <c r="E305">
        <v>204.5</v>
      </c>
      <c r="F305">
        <v>180.4</v>
      </c>
      <c r="G305">
        <v>157.1</v>
      </c>
      <c r="H305">
        <v>188.7</v>
      </c>
      <c r="I305">
        <v>157.69999999999999</v>
      </c>
      <c r="J305">
        <v>152.80000000000001</v>
      </c>
      <c r="K305">
        <v>163.6</v>
      </c>
      <c r="L305">
        <v>113.9</v>
      </c>
      <c r="M305">
        <v>169.7</v>
      </c>
      <c r="N305">
        <v>166.2</v>
      </c>
      <c r="O305">
        <v>171</v>
      </c>
      <c r="P305">
        <v>161.69999999999999</v>
      </c>
      <c r="Q305">
        <v>189.7</v>
      </c>
      <c r="R305">
        <v>166</v>
      </c>
      <c r="S305">
        <v>161.1</v>
      </c>
      <c r="T305">
        <v>165.3</v>
      </c>
      <c r="U305" t="s">
        <v>32</v>
      </c>
      <c r="V305">
        <v>162.5</v>
      </c>
      <c r="W305">
        <v>160.30000000000001</v>
      </c>
      <c r="X305">
        <v>170.4</v>
      </c>
      <c r="Y305">
        <v>157.1</v>
      </c>
      <c r="Z305">
        <v>160.69999999999999</v>
      </c>
      <c r="AA305">
        <v>167.2</v>
      </c>
      <c r="AB305">
        <v>160.4</v>
      </c>
      <c r="AC305">
        <v>162.80000000000001</v>
      </c>
      <c r="AD305">
        <v>163.19999999999999</v>
      </c>
    </row>
    <row r="306" spans="1:30">
      <c r="A306" t="s">
        <v>33</v>
      </c>
      <c r="B306">
        <v>2021</v>
      </c>
      <c r="C306" t="s">
        <v>44</v>
      </c>
      <c r="D306">
        <v>149.1</v>
      </c>
      <c r="E306">
        <v>210.9</v>
      </c>
      <c r="F306">
        <v>185</v>
      </c>
      <c r="G306">
        <v>158.19999999999999</v>
      </c>
      <c r="H306">
        <v>170.6</v>
      </c>
      <c r="I306">
        <v>170.9</v>
      </c>
      <c r="J306">
        <v>186.4</v>
      </c>
      <c r="K306">
        <v>164.7</v>
      </c>
      <c r="L306">
        <v>115.7</v>
      </c>
      <c r="M306">
        <v>165.5</v>
      </c>
      <c r="N306">
        <v>153.4</v>
      </c>
      <c r="O306">
        <v>173.5</v>
      </c>
      <c r="P306">
        <v>167.9</v>
      </c>
      <c r="Q306">
        <v>195.5</v>
      </c>
      <c r="R306">
        <v>157.9</v>
      </c>
      <c r="S306">
        <v>141.9</v>
      </c>
      <c r="T306">
        <v>155.5</v>
      </c>
      <c r="U306" t="s">
        <v>144</v>
      </c>
      <c r="V306">
        <v>157.69999999999999</v>
      </c>
      <c r="W306">
        <v>150.69999999999999</v>
      </c>
      <c r="X306">
        <v>161.5</v>
      </c>
      <c r="Y306">
        <v>149.5</v>
      </c>
      <c r="Z306">
        <v>151.19999999999999</v>
      </c>
      <c r="AA306">
        <v>160.30000000000001</v>
      </c>
      <c r="AB306">
        <v>159.6</v>
      </c>
      <c r="AC306">
        <v>155</v>
      </c>
      <c r="AD306">
        <v>161.80000000000001</v>
      </c>
    </row>
    <row r="307" spans="1:30">
      <c r="A307" t="s">
        <v>35</v>
      </c>
      <c r="B307">
        <v>2021</v>
      </c>
      <c r="C307" t="s">
        <v>44</v>
      </c>
      <c r="D307">
        <v>146.4</v>
      </c>
      <c r="E307">
        <v>206.8</v>
      </c>
      <c r="F307">
        <v>182.2</v>
      </c>
      <c r="G307">
        <v>157.5</v>
      </c>
      <c r="H307">
        <v>182.1</v>
      </c>
      <c r="I307">
        <v>163.9</v>
      </c>
      <c r="J307">
        <v>164.2</v>
      </c>
      <c r="K307">
        <v>164</v>
      </c>
      <c r="L307">
        <v>114.5</v>
      </c>
      <c r="M307">
        <v>168.3</v>
      </c>
      <c r="N307">
        <v>160.9</v>
      </c>
      <c r="O307">
        <v>172.2</v>
      </c>
      <c r="P307">
        <v>164</v>
      </c>
      <c r="Q307">
        <v>191.2</v>
      </c>
      <c r="R307">
        <v>162.80000000000001</v>
      </c>
      <c r="S307">
        <v>153.1</v>
      </c>
      <c r="T307">
        <v>161.4</v>
      </c>
      <c r="U307" t="s">
        <v>144</v>
      </c>
      <c r="V307">
        <v>160.69999999999999</v>
      </c>
      <c r="W307">
        <v>155.80000000000001</v>
      </c>
      <c r="X307">
        <v>167</v>
      </c>
      <c r="Y307">
        <v>153.1</v>
      </c>
      <c r="Z307">
        <v>155.30000000000001</v>
      </c>
      <c r="AA307">
        <v>163.19999999999999</v>
      </c>
      <c r="AB307">
        <v>160.1</v>
      </c>
      <c r="AC307">
        <v>159</v>
      </c>
      <c r="AD307">
        <v>162.5</v>
      </c>
    </row>
    <row r="308" spans="1:30">
      <c r="A308" t="s">
        <v>30</v>
      </c>
      <c r="B308">
        <v>2021</v>
      </c>
      <c r="C308" t="s">
        <v>46</v>
      </c>
      <c r="D308">
        <v>144.9</v>
      </c>
      <c r="E308">
        <v>202.3</v>
      </c>
      <c r="F308">
        <v>176.5</v>
      </c>
      <c r="G308">
        <v>157.5</v>
      </c>
      <c r="H308">
        <v>190.9</v>
      </c>
      <c r="I308">
        <v>155.69999999999999</v>
      </c>
      <c r="J308">
        <v>153.9</v>
      </c>
      <c r="K308">
        <v>162.80000000000001</v>
      </c>
      <c r="L308">
        <v>115.2</v>
      </c>
      <c r="M308">
        <v>169.8</v>
      </c>
      <c r="N308">
        <v>167.6</v>
      </c>
      <c r="O308">
        <v>171.9</v>
      </c>
      <c r="P308">
        <v>161.80000000000001</v>
      </c>
      <c r="Q308">
        <v>190.2</v>
      </c>
      <c r="R308">
        <v>167</v>
      </c>
      <c r="S308">
        <v>162.6</v>
      </c>
      <c r="T308">
        <v>166.3</v>
      </c>
      <c r="U308" t="s">
        <v>32</v>
      </c>
      <c r="V308">
        <v>163.1</v>
      </c>
      <c r="W308">
        <v>160.9</v>
      </c>
      <c r="X308">
        <v>171.1</v>
      </c>
      <c r="Y308">
        <v>157.69999999999999</v>
      </c>
      <c r="Z308">
        <v>161.1</v>
      </c>
      <c r="AA308">
        <v>167.5</v>
      </c>
      <c r="AB308">
        <v>160.30000000000001</v>
      </c>
      <c r="AC308">
        <v>163.30000000000001</v>
      </c>
      <c r="AD308">
        <v>163.6</v>
      </c>
    </row>
    <row r="309" spans="1:30">
      <c r="A309" t="s">
        <v>33</v>
      </c>
      <c r="B309">
        <v>2021</v>
      </c>
      <c r="C309" t="s">
        <v>46</v>
      </c>
      <c r="D309">
        <v>149.30000000000001</v>
      </c>
      <c r="E309">
        <v>207.4</v>
      </c>
      <c r="F309">
        <v>174.1</v>
      </c>
      <c r="G309">
        <v>159.19999999999999</v>
      </c>
      <c r="H309">
        <v>175</v>
      </c>
      <c r="I309">
        <v>161.30000000000001</v>
      </c>
      <c r="J309">
        <v>183.3</v>
      </c>
      <c r="K309">
        <v>164.5</v>
      </c>
      <c r="L309">
        <v>120.4</v>
      </c>
      <c r="M309">
        <v>166.2</v>
      </c>
      <c r="N309">
        <v>154.80000000000001</v>
      </c>
      <c r="O309">
        <v>175.1</v>
      </c>
      <c r="P309">
        <v>167.3</v>
      </c>
      <c r="Q309">
        <v>196.5</v>
      </c>
      <c r="R309">
        <v>159.80000000000001</v>
      </c>
      <c r="S309">
        <v>143.6</v>
      </c>
      <c r="T309">
        <v>157.30000000000001</v>
      </c>
      <c r="U309" t="s">
        <v>145</v>
      </c>
      <c r="V309">
        <v>160.69999999999999</v>
      </c>
      <c r="W309">
        <v>153.19999999999999</v>
      </c>
      <c r="X309">
        <v>162.80000000000001</v>
      </c>
      <c r="Y309">
        <v>150.4</v>
      </c>
      <c r="Z309">
        <v>153.69999999999999</v>
      </c>
      <c r="AA309">
        <v>160.4</v>
      </c>
      <c r="AB309">
        <v>159.6</v>
      </c>
      <c r="AC309">
        <v>156</v>
      </c>
      <c r="AD309">
        <v>162.30000000000001</v>
      </c>
    </row>
    <row r="310" spans="1:30">
      <c r="A310" t="s">
        <v>35</v>
      </c>
      <c r="B310">
        <v>2021</v>
      </c>
      <c r="C310" t="s">
        <v>46</v>
      </c>
      <c r="D310">
        <v>146.6</v>
      </c>
      <c r="E310">
        <v>204</v>
      </c>
      <c r="F310">
        <v>172.8</v>
      </c>
      <c r="G310">
        <v>158.4</v>
      </c>
      <c r="H310">
        <v>188</v>
      </c>
      <c r="I310">
        <v>156.80000000000001</v>
      </c>
      <c r="J310">
        <v>162.19999999999999</v>
      </c>
      <c r="K310">
        <v>164.1</v>
      </c>
      <c r="L310">
        <v>119.7</v>
      </c>
      <c r="M310">
        <v>168.8</v>
      </c>
      <c r="N310">
        <v>162.69999999999999</v>
      </c>
      <c r="O310">
        <v>173.9</v>
      </c>
      <c r="P310">
        <v>164</v>
      </c>
      <c r="Q310">
        <v>192.1</v>
      </c>
      <c r="R310">
        <v>164.5</v>
      </c>
      <c r="S310">
        <v>155.30000000000001</v>
      </c>
      <c r="T310">
        <v>163.19999999999999</v>
      </c>
      <c r="U310" t="s">
        <v>145</v>
      </c>
      <c r="V310">
        <v>162.6</v>
      </c>
      <c r="W310">
        <v>157.5</v>
      </c>
      <c r="X310">
        <v>168.4</v>
      </c>
      <c r="Y310">
        <v>154</v>
      </c>
      <c r="Z310">
        <v>157.6</v>
      </c>
      <c r="AA310">
        <v>163.80000000000001</v>
      </c>
      <c r="AB310">
        <v>160</v>
      </c>
      <c r="AC310">
        <v>160</v>
      </c>
      <c r="AD310">
        <v>163.19999999999999</v>
      </c>
    </row>
    <row r="311" spans="1:30">
      <c r="A311" t="s">
        <v>30</v>
      </c>
      <c r="B311">
        <v>2021</v>
      </c>
      <c r="C311" t="s">
        <v>48</v>
      </c>
      <c r="D311">
        <v>145.4</v>
      </c>
      <c r="E311">
        <v>202.1</v>
      </c>
      <c r="F311">
        <v>172</v>
      </c>
      <c r="G311">
        <v>158</v>
      </c>
      <c r="H311">
        <v>195.5</v>
      </c>
      <c r="I311">
        <v>152.69999999999999</v>
      </c>
      <c r="J311">
        <v>151.4</v>
      </c>
      <c r="K311">
        <v>163.9</v>
      </c>
      <c r="L311">
        <v>119.3</v>
      </c>
      <c r="M311">
        <v>170.1</v>
      </c>
      <c r="N311">
        <v>168.3</v>
      </c>
      <c r="O311">
        <v>172.8</v>
      </c>
      <c r="P311">
        <v>162.1</v>
      </c>
      <c r="Q311">
        <v>190.5</v>
      </c>
      <c r="R311">
        <v>167.7</v>
      </c>
      <c r="S311">
        <v>163.6</v>
      </c>
      <c r="T311">
        <v>167.1</v>
      </c>
      <c r="U311" t="s">
        <v>32</v>
      </c>
      <c r="V311">
        <v>163.69999999999999</v>
      </c>
      <c r="W311">
        <v>161.30000000000001</v>
      </c>
      <c r="X311">
        <v>171.9</v>
      </c>
      <c r="Y311">
        <v>157.80000000000001</v>
      </c>
      <c r="Z311">
        <v>162.69999999999999</v>
      </c>
      <c r="AA311">
        <v>168.5</v>
      </c>
      <c r="AB311">
        <v>160.19999999999999</v>
      </c>
      <c r="AC311">
        <v>163.80000000000001</v>
      </c>
      <c r="AD311">
        <v>164</v>
      </c>
    </row>
    <row r="312" spans="1:30">
      <c r="A312" t="s">
        <v>33</v>
      </c>
      <c r="B312">
        <v>2021</v>
      </c>
      <c r="C312" t="s">
        <v>48</v>
      </c>
      <c r="D312">
        <v>149.30000000000001</v>
      </c>
      <c r="E312">
        <v>207.4</v>
      </c>
      <c r="F312">
        <v>174.1</v>
      </c>
      <c r="G312">
        <v>159.1</v>
      </c>
      <c r="H312">
        <v>175</v>
      </c>
      <c r="I312">
        <v>161.19999999999999</v>
      </c>
      <c r="J312">
        <v>183.5</v>
      </c>
      <c r="K312">
        <v>164.5</v>
      </c>
      <c r="L312">
        <v>120.4</v>
      </c>
      <c r="M312">
        <v>166.2</v>
      </c>
      <c r="N312">
        <v>154.80000000000001</v>
      </c>
      <c r="O312">
        <v>175.1</v>
      </c>
      <c r="P312">
        <v>167.3</v>
      </c>
      <c r="Q312">
        <v>196.5</v>
      </c>
      <c r="R312">
        <v>159.80000000000001</v>
      </c>
      <c r="S312">
        <v>143.6</v>
      </c>
      <c r="T312">
        <v>157.4</v>
      </c>
      <c r="U312" t="s">
        <v>145</v>
      </c>
      <c r="V312">
        <v>160.80000000000001</v>
      </c>
      <c r="W312">
        <v>153.30000000000001</v>
      </c>
      <c r="X312">
        <v>162.80000000000001</v>
      </c>
      <c r="Y312">
        <v>150.5</v>
      </c>
      <c r="Z312">
        <v>153.9</v>
      </c>
      <c r="AA312">
        <v>160.30000000000001</v>
      </c>
      <c r="AB312">
        <v>159.6</v>
      </c>
      <c r="AC312">
        <v>156</v>
      </c>
      <c r="AD312">
        <v>162.30000000000001</v>
      </c>
    </row>
    <row r="313" spans="1:30">
      <c r="A313" t="s">
        <v>35</v>
      </c>
      <c r="B313">
        <v>2021</v>
      </c>
      <c r="C313" t="s">
        <v>48</v>
      </c>
      <c r="D313">
        <v>146.6</v>
      </c>
      <c r="E313">
        <v>204</v>
      </c>
      <c r="F313">
        <v>172.8</v>
      </c>
      <c r="G313">
        <v>158.4</v>
      </c>
      <c r="H313">
        <v>188</v>
      </c>
      <c r="I313">
        <v>156.69999999999999</v>
      </c>
      <c r="J313">
        <v>162.30000000000001</v>
      </c>
      <c r="K313">
        <v>164.1</v>
      </c>
      <c r="L313">
        <v>119.7</v>
      </c>
      <c r="M313">
        <v>168.8</v>
      </c>
      <c r="N313">
        <v>162.69999999999999</v>
      </c>
      <c r="O313">
        <v>173.9</v>
      </c>
      <c r="P313">
        <v>164</v>
      </c>
      <c r="Q313">
        <v>192.1</v>
      </c>
      <c r="R313">
        <v>164.6</v>
      </c>
      <c r="S313">
        <v>155.30000000000001</v>
      </c>
      <c r="T313">
        <v>163.30000000000001</v>
      </c>
      <c r="U313" t="s">
        <v>145</v>
      </c>
      <c r="V313">
        <v>162.6</v>
      </c>
      <c r="W313">
        <v>157.5</v>
      </c>
      <c r="X313">
        <v>168.4</v>
      </c>
      <c r="Y313">
        <v>154</v>
      </c>
      <c r="Z313">
        <v>157.69999999999999</v>
      </c>
      <c r="AA313">
        <v>163.69999999999999</v>
      </c>
      <c r="AB313">
        <v>160</v>
      </c>
      <c r="AC313">
        <v>160</v>
      </c>
      <c r="AD313">
        <v>163.19999999999999</v>
      </c>
    </row>
    <row r="314" spans="1:30">
      <c r="A314" t="s">
        <v>30</v>
      </c>
      <c r="B314">
        <v>2021</v>
      </c>
      <c r="C314" t="s">
        <v>50</v>
      </c>
      <c r="D314">
        <v>146.1</v>
      </c>
      <c r="E314">
        <v>202.5</v>
      </c>
      <c r="F314">
        <v>170.1</v>
      </c>
      <c r="G314">
        <v>158.4</v>
      </c>
      <c r="H314">
        <v>198.8</v>
      </c>
      <c r="I314">
        <v>152.6</v>
      </c>
      <c r="J314">
        <v>170.4</v>
      </c>
      <c r="K314">
        <v>165.2</v>
      </c>
      <c r="L314">
        <v>121.6</v>
      </c>
      <c r="M314">
        <v>170.6</v>
      </c>
      <c r="N314">
        <v>168.8</v>
      </c>
      <c r="O314">
        <v>173.6</v>
      </c>
      <c r="P314">
        <v>165.5</v>
      </c>
      <c r="Q314">
        <v>191.2</v>
      </c>
      <c r="R314">
        <v>168.9</v>
      </c>
      <c r="S314">
        <v>164.8</v>
      </c>
      <c r="T314">
        <v>168.3</v>
      </c>
      <c r="U314" t="s">
        <v>32</v>
      </c>
      <c r="V314">
        <v>165.5</v>
      </c>
      <c r="W314">
        <v>162</v>
      </c>
      <c r="X314">
        <v>172.5</v>
      </c>
      <c r="Y314">
        <v>159.5</v>
      </c>
      <c r="Z314">
        <v>163.19999999999999</v>
      </c>
      <c r="AA314">
        <v>169</v>
      </c>
      <c r="AB314">
        <v>161.1</v>
      </c>
      <c r="AC314">
        <v>164.7</v>
      </c>
      <c r="AD314">
        <v>166.3</v>
      </c>
    </row>
    <row r="315" spans="1:30">
      <c r="A315" t="s">
        <v>33</v>
      </c>
      <c r="B315">
        <v>2021</v>
      </c>
      <c r="C315" t="s">
        <v>50</v>
      </c>
      <c r="D315">
        <v>150.1</v>
      </c>
      <c r="E315">
        <v>208.4</v>
      </c>
      <c r="F315">
        <v>173</v>
      </c>
      <c r="G315">
        <v>159.19999999999999</v>
      </c>
      <c r="H315">
        <v>176.6</v>
      </c>
      <c r="I315">
        <v>159.30000000000001</v>
      </c>
      <c r="J315">
        <v>214.4</v>
      </c>
      <c r="K315">
        <v>165.3</v>
      </c>
      <c r="L315">
        <v>122.5</v>
      </c>
      <c r="M315">
        <v>166.8</v>
      </c>
      <c r="N315">
        <v>155.4</v>
      </c>
      <c r="O315">
        <v>175.9</v>
      </c>
      <c r="P315">
        <v>171.5</v>
      </c>
      <c r="Q315">
        <v>197</v>
      </c>
      <c r="R315">
        <v>160.80000000000001</v>
      </c>
      <c r="S315">
        <v>144.4</v>
      </c>
      <c r="T315">
        <v>158.30000000000001</v>
      </c>
      <c r="U315" t="s">
        <v>146</v>
      </c>
      <c r="V315">
        <v>162.19999999999999</v>
      </c>
      <c r="W315">
        <v>154.30000000000001</v>
      </c>
      <c r="X315">
        <v>163.5</v>
      </c>
      <c r="Y315">
        <v>152.19999999999999</v>
      </c>
      <c r="Z315">
        <v>155.1</v>
      </c>
      <c r="AA315">
        <v>160.30000000000001</v>
      </c>
      <c r="AB315">
        <v>160.30000000000001</v>
      </c>
      <c r="AC315">
        <v>157</v>
      </c>
      <c r="AD315">
        <v>164.6</v>
      </c>
    </row>
    <row r="316" spans="1:30">
      <c r="A316" t="s">
        <v>35</v>
      </c>
      <c r="B316">
        <v>2021</v>
      </c>
      <c r="C316" t="s">
        <v>50</v>
      </c>
      <c r="D316">
        <v>147.4</v>
      </c>
      <c r="E316">
        <v>204.6</v>
      </c>
      <c r="F316">
        <v>171.2</v>
      </c>
      <c r="G316">
        <v>158.69999999999999</v>
      </c>
      <c r="H316">
        <v>190.6</v>
      </c>
      <c r="I316">
        <v>155.69999999999999</v>
      </c>
      <c r="J316">
        <v>185.3</v>
      </c>
      <c r="K316">
        <v>165.2</v>
      </c>
      <c r="L316">
        <v>121.9</v>
      </c>
      <c r="M316">
        <v>169.3</v>
      </c>
      <c r="N316">
        <v>163.19999999999999</v>
      </c>
      <c r="O316">
        <v>174.7</v>
      </c>
      <c r="P316">
        <v>167.7</v>
      </c>
      <c r="Q316">
        <v>192.7</v>
      </c>
      <c r="R316">
        <v>165.7</v>
      </c>
      <c r="S316">
        <v>156.30000000000001</v>
      </c>
      <c r="T316">
        <v>164.3</v>
      </c>
      <c r="U316" t="s">
        <v>146</v>
      </c>
      <c r="V316">
        <v>164.2</v>
      </c>
      <c r="W316">
        <v>158.4</v>
      </c>
      <c r="X316">
        <v>169.1</v>
      </c>
      <c r="Y316">
        <v>155.69999999999999</v>
      </c>
      <c r="Z316">
        <v>158.6</v>
      </c>
      <c r="AA316">
        <v>163.9</v>
      </c>
      <c r="AB316">
        <v>160.80000000000001</v>
      </c>
      <c r="AC316">
        <v>161</v>
      </c>
      <c r="AD316">
        <v>165.5</v>
      </c>
    </row>
    <row r="317" spans="1:30">
      <c r="A317" t="s">
        <v>30</v>
      </c>
      <c r="B317">
        <v>2021</v>
      </c>
      <c r="C317" t="s">
        <v>53</v>
      </c>
      <c r="D317">
        <v>146.9</v>
      </c>
      <c r="E317">
        <v>199.8</v>
      </c>
      <c r="F317">
        <v>171.5</v>
      </c>
      <c r="G317">
        <v>159.1</v>
      </c>
      <c r="H317">
        <v>198.4</v>
      </c>
      <c r="I317">
        <v>153.19999999999999</v>
      </c>
      <c r="J317">
        <v>183.9</v>
      </c>
      <c r="K317">
        <v>165.4</v>
      </c>
      <c r="L317">
        <v>122.1</v>
      </c>
      <c r="M317">
        <v>170.8</v>
      </c>
      <c r="N317">
        <v>169.1</v>
      </c>
      <c r="O317">
        <v>174.3</v>
      </c>
      <c r="P317">
        <v>167.5</v>
      </c>
      <c r="Q317">
        <v>191.4</v>
      </c>
      <c r="R317">
        <v>170.4</v>
      </c>
      <c r="S317">
        <v>166</v>
      </c>
      <c r="T317">
        <v>169.8</v>
      </c>
      <c r="U317" t="s">
        <v>32</v>
      </c>
      <c r="V317">
        <v>165.3</v>
      </c>
      <c r="W317">
        <v>162.9</v>
      </c>
      <c r="X317">
        <v>173.4</v>
      </c>
      <c r="Y317">
        <v>158.9</v>
      </c>
      <c r="Z317">
        <v>163.80000000000001</v>
      </c>
      <c r="AA317">
        <v>169.3</v>
      </c>
      <c r="AB317">
        <v>162.4</v>
      </c>
      <c r="AC317">
        <v>165.2</v>
      </c>
      <c r="AD317">
        <v>167.6</v>
      </c>
    </row>
    <row r="318" spans="1:30">
      <c r="A318" t="s">
        <v>33</v>
      </c>
      <c r="B318">
        <v>2021</v>
      </c>
      <c r="C318" t="s">
        <v>53</v>
      </c>
      <c r="D318">
        <v>151</v>
      </c>
      <c r="E318">
        <v>204.9</v>
      </c>
      <c r="F318">
        <v>175.4</v>
      </c>
      <c r="G318">
        <v>159.6</v>
      </c>
      <c r="H318">
        <v>175.8</v>
      </c>
      <c r="I318">
        <v>160.30000000000001</v>
      </c>
      <c r="J318">
        <v>229.1</v>
      </c>
      <c r="K318">
        <v>165.1</v>
      </c>
      <c r="L318">
        <v>123.1</v>
      </c>
      <c r="M318">
        <v>167.2</v>
      </c>
      <c r="N318">
        <v>156.1</v>
      </c>
      <c r="O318">
        <v>176.8</v>
      </c>
      <c r="P318">
        <v>173.5</v>
      </c>
      <c r="Q318">
        <v>197</v>
      </c>
      <c r="R318">
        <v>162.30000000000001</v>
      </c>
      <c r="S318">
        <v>145.30000000000001</v>
      </c>
      <c r="T318">
        <v>159.69999999999999</v>
      </c>
      <c r="U318" t="s">
        <v>147</v>
      </c>
      <c r="V318">
        <v>161.6</v>
      </c>
      <c r="W318">
        <v>155.19999999999999</v>
      </c>
      <c r="X318">
        <v>164.2</v>
      </c>
      <c r="Y318">
        <v>151.19999999999999</v>
      </c>
      <c r="Z318">
        <v>156.69999999999999</v>
      </c>
      <c r="AA318">
        <v>160.80000000000001</v>
      </c>
      <c r="AB318">
        <v>161.80000000000001</v>
      </c>
      <c r="AC318">
        <v>157.30000000000001</v>
      </c>
      <c r="AD318">
        <v>165.6</v>
      </c>
    </row>
    <row r="319" spans="1:30">
      <c r="A319" t="s">
        <v>35</v>
      </c>
      <c r="B319">
        <v>2021</v>
      </c>
      <c r="C319" t="s">
        <v>53</v>
      </c>
      <c r="D319">
        <v>148.19999999999999</v>
      </c>
      <c r="E319">
        <v>201.6</v>
      </c>
      <c r="F319">
        <v>173</v>
      </c>
      <c r="G319">
        <v>159.30000000000001</v>
      </c>
      <c r="H319">
        <v>190.1</v>
      </c>
      <c r="I319">
        <v>156.5</v>
      </c>
      <c r="J319">
        <v>199.2</v>
      </c>
      <c r="K319">
        <v>165.3</v>
      </c>
      <c r="L319">
        <v>122.4</v>
      </c>
      <c r="M319">
        <v>169.6</v>
      </c>
      <c r="N319">
        <v>163.69999999999999</v>
      </c>
      <c r="O319">
        <v>175.5</v>
      </c>
      <c r="P319">
        <v>169.7</v>
      </c>
      <c r="Q319">
        <v>192.9</v>
      </c>
      <c r="R319">
        <v>167.2</v>
      </c>
      <c r="S319">
        <v>157.4</v>
      </c>
      <c r="T319">
        <v>165.8</v>
      </c>
      <c r="U319" t="s">
        <v>147</v>
      </c>
      <c r="V319">
        <v>163.9</v>
      </c>
      <c r="W319">
        <v>159.30000000000001</v>
      </c>
      <c r="X319">
        <v>169.9</v>
      </c>
      <c r="Y319">
        <v>154.80000000000001</v>
      </c>
      <c r="Z319">
        <v>159.80000000000001</v>
      </c>
      <c r="AA319">
        <v>164.3</v>
      </c>
      <c r="AB319">
        <v>162.19999999999999</v>
      </c>
      <c r="AC319">
        <v>161.4</v>
      </c>
      <c r="AD319">
        <v>166.7</v>
      </c>
    </row>
    <row r="320" spans="1:30">
      <c r="A320" t="s">
        <v>30</v>
      </c>
      <c r="B320">
        <v>2021</v>
      </c>
      <c r="C320" t="s">
        <v>55</v>
      </c>
      <c r="D320">
        <v>147.4</v>
      </c>
      <c r="E320">
        <v>197</v>
      </c>
      <c r="F320">
        <v>176.5</v>
      </c>
      <c r="G320">
        <v>159.80000000000001</v>
      </c>
      <c r="H320">
        <v>195.8</v>
      </c>
      <c r="I320">
        <v>152</v>
      </c>
      <c r="J320">
        <v>172.3</v>
      </c>
      <c r="K320">
        <v>164.5</v>
      </c>
      <c r="L320">
        <v>120.6</v>
      </c>
      <c r="M320">
        <v>171.7</v>
      </c>
      <c r="N320">
        <v>169.7</v>
      </c>
      <c r="O320">
        <v>175.1</v>
      </c>
      <c r="P320">
        <v>165.8</v>
      </c>
      <c r="Q320">
        <v>190.8</v>
      </c>
      <c r="R320">
        <v>171.8</v>
      </c>
      <c r="S320">
        <v>167.3</v>
      </c>
      <c r="T320">
        <v>171.2</v>
      </c>
      <c r="U320" t="s">
        <v>32</v>
      </c>
      <c r="V320">
        <v>165.6</v>
      </c>
      <c r="W320">
        <v>163.9</v>
      </c>
      <c r="X320">
        <v>174</v>
      </c>
      <c r="Y320">
        <v>160.1</v>
      </c>
      <c r="Z320">
        <v>164.5</v>
      </c>
      <c r="AA320">
        <v>169.7</v>
      </c>
      <c r="AB320">
        <v>162.80000000000001</v>
      </c>
      <c r="AC320">
        <v>166</v>
      </c>
      <c r="AD320">
        <v>167</v>
      </c>
    </row>
    <row r="321" spans="1:30">
      <c r="A321" t="s">
        <v>33</v>
      </c>
      <c r="B321">
        <v>2021</v>
      </c>
      <c r="C321" t="s">
        <v>55</v>
      </c>
      <c r="D321">
        <v>151.6</v>
      </c>
      <c r="E321">
        <v>202.2</v>
      </c>
      <c r="F321">
        <v>180</v>
      </c>
      <c r="G321">
        <v>160</v>
      </c>
      <c r="H321">
        <v>173.5</v>
      </c>
      <c r="I321">
        <v>158.30000000000001</v>
      </c>
      <c r="J321">
        <v>219.5</v>
      </c>
      <c r="K321">
        <v>164.2</v>
      </c>
      <c r="L321">
        <v>121.9</v>
      </c>
      <c r="M321">
        <v>168.2</v>
      </c>
      <c r="N321">
        <v>156.5</v>
      </c>
      <c r="O321">
        <v>178.2</v>
      </c>
      <c r="P321">
        <v>172.2</v>
      </c>
      <c r="Q321">
        <v>196.8</v>
      </c>
      <c r="R321">
        <v>163.30000000000001</v>
      </c>
      <c r="S321">
        <v>146.69999999999999</v>
      </c>
      <c r="T321">
        <v>160.69999999999999</v>
      </c>
      <c r="U321" t="s">
        <v>148</v>
      </c>
      <c r="V321">
        <v>161.69999999999999</v>
      </c>
      <c r="W321">
        <v>156</v>
      </c>
      <c r="X321">
        <v>165.1</v>
      </c>
      <c r="Y321">
        <v>151.80000000000001</v>
      </c>
      <c r="Z321">
        <v>157.6</v>
      </c>
      <c r="AA321">
        <v>160.6</v>
      </c>
      <c r="AB321">
        <v>162.4</v>
      </c>
      <c r="AC321">
        <v>157.80000000000001</v>
      </c>
      <c r="AD321">
        <v>165.2</v>
      </c>
    </row>
    <row r="322" spans="1:30">
      <c r="A322" t="s">
        <v>35</v>
      </c>
      <c r="B322">
        <v>2021</v>
      </c>
      <c r="C322" t="s">
        <v>55</v>
      </c>
      <c r="D322">
        <v>148.69999999999999</v>
      </c>
      <c r="E322">
        <v>198.8</v>
      </c>
      <c r="F322">
        <v>177.9</v>
      </c>
      <c r="G322">
        <v>159.9</v>
      </c>
      <c r="H322">
        <v>187.6</v>
      </c>
      <c r="I322">
        <v>154.9</v>
      </c>
      <c r="J322">
        <v>188.3</v>
      </c>
      <c r="K322">
        <v>164.4</v>
      </c>
      <c r="L322">
        <v>121</v>
      </c>
      <c r="M322">
        <v>170.5</v>
      </c>
      <c r="N322">
        <v>164.2</v>
      </c>
      <c r="O322">
        <v>176.5</v>
      </c>
      <c r="P322">
        <v>168.2</v>
      </c>
      <c r="Q322">
        <v>192.4</v>
      </c>
      <c r="R322">
        <v>168.5</v>
      </c>
      <c r="S322">
        <v>158.69999999999999</v>
      </c>
      <c r="T322">
        <v>167</v>
      </c>
      <c r="U322" t="s">
        <v>148</v>
      </c>
      <c r="V322">
        <v>164.1</v>
      </c>
      <c r="W322">
        <v>160.19999999999999</v>
      </c>
      <c r="X322">
        <v>170.6</v>
      </c>
      <c r="Y322">
        <v>155.69999999999999</v>
      </c>
      <c r="Z322">
        <v>160.6</v>
      </c>
      <c r="AA322">
        <v>164.4</v>
      </c>
      <c r="AB322">
        <v>162.6</v>
      </c>
      <c r="AC322">
        <v>162</v>
      </c>
      <c r="AD322">
        <v>166.2</v>
      </c>
    </row>
    <row r="323" spans="1:30">
      <c r="A323" t="s">
        <v>30</v>
      </c>
      <c r="B323">
        <v>2022</v>
      </c>
      <c r="C323" t="s">
        <v>31</v>
      </c>
      <c r="D323">
        <v>148.30000000000001</v>
      </c>
      <c r="E323">
        <v>196.9</v>
      </c>
      <c r="F323">
        <v>178</v>
      </c>
      <c r="G323">
        <v>160.5</v>
      </c>
      <c r="H323">
        <v>192.6</v>
      </c>
      <c r="I323">
        <v>151.19999999999999</v>
      </c>
      <c r="J323">
        <v>159.19999999999999</v>
      </c>
      <c r="K323">
        <v>164</v>
      </c>
      <c r="L323">
        <v>119.3</v>
      </c>
      <c r="M323">
        <v>173.3</v>
      </c>
      <c r="N323">
        <v>169.8</v>
      </c>
      <c r="O323">
        <v>175.8</v>
      </c>
      <c r="P323">
        <v>164.1</v>
      </c>
      <c r="Q323">
        <v>190.7</v>
      </c>
      <c r="R323">
        <v>173.2</v>
      </c>
      <c r="S323">
        <v>169.3</v>
      </c>
      <c r="T323">
        <v>172.7</v>
      </c>
      <c r="U323" t="s">
        <v>32</v>
      </c>
      <c r="V323">
        <v>165.8</v>
      </c>
      <c r="W323">
        <v>164.9</v>
      </c>
      <c r="X323">
        <v>174.7</v>
      </c>
      <c r="Y323">
        <v>160.80000000000001</v>
      </c>
      <c r="Z323">
        <v>164.9</v>
      </c>
      <c r="AA323">
        <v>169.9</v>
      </c>
      <c r="AB323">
        <v>163.19999999999999</v>
      </c>
      <c r="AC323">
        <v>166.6</v>
      </c>
      <c r="AD323">
        <v>166.4</v>
      </c>
    </row>
    <row r="324" spans="1:30">
      <c r="A324" t="s">
        <v>33</v>
      </c>
      <c r="B324">
        <v>2022</v>
      </c>
      <c r="C324" t="s">
        <v>31</v>
      </c>
      <c r="D324">
        <v>152.19999999999999</v>
      </c>
      <c r="E324">
        <v>202.1</v>
      </c>
      <c r="F324">
        <v>180.1</v>
      </c>
      <c r="G324">
        <v>160.4</v>
      </c>
      <c r="H324">
        <v>171</v>
      </c>
      <c r="I324">
        <v>156.5</v>
      </c>
      <c r="J324">
        <v>203.6</v>
      </c>
      <c r="K324">
        <v>163.80000000000001</v>
      </c>
      <c r="L324">
        <v>121.3</v>
      </c>
      <c r="M324">
        <v>169.8</v>
      </c>
      <c r="N324">
        <v>156.6</v>
      </c>
      <c r="O324">
        <v>179</v>
      </c>
      <c r="P324">
        <v>170.3</v>
      </c>
      <c r="Q324">
        <v>196.4</v>
      </c>
      <c r="R324">
        <v>164.7</v>
      </c>
      <c r="S324">
        <v>148.5</v>
      </c>
      <c r="T324">
        <v>162.19999999999999</v>
      </c>
      <c r="U324" t="s">
        <v>149</v>
      </c>
      <c r="V324">
        <v>161.6</v>
      </c>
      <c r="W324">
        <v>156.80000000000001</v>
      </c>
      <c r="X324">
        <v>166.1</v>
      </c>
      <c r="Y324">
        <v>152.69999999999999</v>
      </c>
      <c r="Z324">
        <v>158.4</v>
      </c>
      <c r="AA324">
        <v>161</v>
      </c>
      <c r="AB324">
        <v>162.80000000000001</v>
      </c>
      <c r="AC324">
        <v>158.6</v>
      </c>
      <c r="AD324">
        <v>165</v>
      </c>
    </row>
    <row r="325" spans="1:30">
      <c r="A325" t="s">
        <v>35</v>
      </c>
      <c r="B325">
        <v>2022</v>
      </c>
      <c r="C325" t="s">
        <v>31</v>
      </c>
      <c r="D325">
        <v>149.5</v>
      </c>
      <c r="E325">
        <v>198.7</v>
      </c>
      <c r="F325">
        <v>178.8</v>
      </c>
      <c r="G325">
        <v>160.5</v>
      </c>
      <c r="H325">
        <v>184.7</v>
      </c>
      <c r="I325">
        <v>153.69999999999999</v>
      </c>
      <c r="J325">
        <v>174.3</v>
      </c>
      <c r="K325">
        <v>163.9</v>
      </c>
      <c r="L325">
        <v>120</v>
      </c>
      <c r="M325">
        <v>172.1</v>
      </c>
      <c r="N325">
        <v>164.3</v>
      </c>
      <c r="O325">
        <v>177.3</v>
      </c>
      <c r="P325">
        <v>166.4</v>
      </c>
      <c r="Q325">
        <v>192.2</v>
      </c>
      <c r="R325">
        <v>169.9</v>
      </c>
      <c r="S325">
        <v>160.69999999999999</v>
      </c>
      <c r="T325">
        <v>168.5</v>
      </c>
      <c r="U325" t="s">
        <v>149</v>
      </c>
      <c r="V325">
        <v>164.2</v>
      </c>
      <c r="W325">
        <v>161.1</v>
      </c>
      <c r="X325">
        <v>171.4</v>
      </c>
      <c r="Y325">
        <v>156.5</v>
      </c>
      <c r="Z325">
        <v>161.19999999999999</v>
      </c>
      <c r="AA325">
        <v>164.7</v>
      </c>
      <c r="AB325">
        <v>163</v>
      </c>
      <c r="AC325">
        <v>162.69999999999999</v>
      </c>
      <c r="AD325">
        <v>165.7</v>
      </c>
    </row>
    <row r="326" spans="1:30">
      <c r="A326" t="s">
        <v>30</v>
      </c>
      <c r="B326">
        <v>2022</v>
      </c>
      <c r="C326" t="s">
        <v>36</v>
      </c>
      <c r="D326">
        <v>148.80000000000001</v>
      </c>
      <c r="E326">
        <v>198.1</v>
      </c>
      <c r="F326">
        <v>175.5</v>
      </c>
      <c r="G326">
        <v>160.69999999999999</v>
      </c>
      <c r="H326">
        <v>192.6</v>
      </c>
      <c r="I326">
        <v>151.4</v>
      </c>
      <c r="J326">
        <v>155.19999999999999</v>
      </c>
      <c r="K326">
        <v>163.9</v>
      </c>
      <c r="L326">
        <v>118.1</v>
      </c>
      <c r="M326">
        <v>175.4</v>
      </c>
      <c r="N326">
        <v>170.5</v>
      </c>
      <c r="O326">
        <v>176.3</v>
      </c>
      <c r="P326">
        <v>163.9</v>
      </c>
      <c r="Q326">
        <v>191.5</v>
      </c>
      <c r="R326">
        <v>174.1</v>
      </c>
      <c r="S326">
        <v>171</v>
      </c>
      <c r="T326">
        <v>173.7</v>
      </c>
      <c r="U326" t="s">
        <v>32</v>
      </c>
      <c r="V326">
        <v>167.4</v>
      </c>
      <c r="W326">
        <v>165.7</v>
      </c>
      <c r="X326">
        <v>175.3</v>
      </c>
      <c r="Y326">
        <v>161.19999999999999</v>
      </c>
      <c r="Z326">
        <v>165.5</v>
      </c>
      <c r="AA326">
        <v>170.3</v>
      </c>
      <c r="AB326">
        <v>164.5</v>
      </c>
      <c r="AC326">
        <v>167.3</v>
      </c>
      <c r="AD326">
        <v>166.7</v>
      </c>
    </row>
    <row r="327" spans="1:30">
      <c r="A327" t="s">
        <v>33</v>
      </c>
      <c r="B327">
        <v>2022</v>
      </c>
      <c r="C327" t="s">
        <v>36</v>
      </c>
      <c r="D327">
        <v>152.5</v>
      </c>
      <c r="E327">
        <v>205.2</v>
      </c>
      <c r="F327">
        <v>176.4</v>
      </c>
      <c r="G327">
        <v>160.6</v>
      </c>
      <c r="H327">
        <v>171.5</v>
      </c>
      <c r="I327">
        <v>156.4</v>
      </c>
      <c r="J327">
        <v>198</v>
      </c>
      <c r="K327">
        <v>163.19999999999999</v>
      </c>
      <c r="L327">
        <v>120.6</v>
      </c>
      <c r="M327">
        <v>172.2</v>
      </c>
      <c r="N327">
        <v>156.69999999999999</v>
      </c>
      <c r="O327">
        <v>180</v>
      </c>
      <c r="P327">
        <v>170.2</v>
      </c>
      <c r="Q327">
        <v>196.5</v>
      </c>
      <c r="R327">
        <v>165.7</v>
      </c>
      <c r="S327">
        <v>150.4</v>
      </c>
      <c r="T327">
        <v>163.4</v>
      </c>
      <c r="U327" t="s">
        <v>150</v>
      </c>
      <c r="V327">
        <v>163</v>
      </c>
      <c r="W327">
        <v>157.4</v>
      </c>
      <c r="X327">
        <v>167.2</v>
      </c>
      <c r="Y327">
        <v>153.1</v>
      </c>
      <c r="Z327">
        <v>159.5</v>
      </c>
      <c r="AA327">
        <v>162</v>
      </c>
      <c r="AB327">
        <v>164.2</v>
      </c>
      <c r="AC327">
        <v>159.4</v>
      </c>
      <c r="AD327">
        <v>165.5</v>
      </c>
    </row>
    <row r="328" spans="1:30">
      <c r="A328" t="s">
        <v>35</v>
      </c>
      <c r="B328">
        <v>2022</v>
      </c>
      <c r="C328" t="s">
        <v>36</v>
      </c>
      <c r="D328">
        <v>150</v>
      </c>
      <c r="E328">
        <v>200.6</v>
      </c>
      <c r="F328">
        <v>175.8</v>
      </c>
      <c r="G328">
        <v>160.69999999999999</v>
      </c>
      <c r="H328">
        <v>184.9</v>
      </c>
      <c r="I328">
        <v>153.69999999999999</v>
      </c>
      <c r="J328">
        <v>169.7</v>
      </c>
      <c r="K328">
        <v>163.69999999999999</v>
      </c>
      <c r="L328">
        <v>118.9</v>
      </c>
      <c r="M328">
        <v>174.3</v>
      </c>
      <c r="N328">
        <v>164.7</v>
      </c>
      <c r="O328">
        <v>178</v>
      </c>
      <c r="P328">
        <v>166.2</v>
      </c>
      <c r="Q328">
        <v>192.8</v>
      </c>
      <c r="R328">
        <v>170.8</v>
      </c>
      <c r="S328">
        <v>162.4</v>
      </c>
      <c r="T328">
        <v>169.6</v>
      </c>
      <c r="U328" t="s">
        <v>150</v>
      </c>
      <c r="V328">
        <v>165.7</v>
      </c>
      <c r="W328">
        <v>161.80000000000001</v>
      </c>
      <c r="X328">
        <v>172.2</v>
      </c>
      <c r="Y328">
        <v>156.9</v>
      </c>
      <c r="Z328">
        <v>162.1</v>
      </c>
      <c r="AA328">
        <v>165.4</v>
      </c>
      <c r="AB328">
        <v>164.4</v>
      </c>
      <c r="AC328">
        <v>163.5</v>
      </c>
      <c r="AD328">
        <v>166.1</v>
      </c>
    </row>
    <row r="329" spans="1:30">
      <c r="A329" t="s">
        <v>30</v>
      </c>
      <c r="B329">
        <v>2022</v>
      </c>
      <c r="C329" t="s">
        <v>38</v>
      </c>
      <c r="D329">
        <v>150.19999999999999</v>
      </c>
      <c r="E329">
        <v>208</v>
      </c>
      <c r="F329">
        <v>167.9</v>
      </c>
      <c r="G329">
        <v>162</v>
      </c>
      <c r="H329">
        <v>203.1</v>
      </c>
      <c r="I329">
        <v>155.9</v>
      </c>
      <c r="J329">
        <v>155.80000000000001</v>
      </c>
      <c r="K329">
        <v>164.2</v>
      </c>
      <c r="L329">
        <v>118.1</v>
      </c>
      <c r="M329">
        <v>178.7</v>
      </c>
      <c r="N329">
        <v>171.2</v>
      </c>
      <c r="O329">
        <v>177.4</v>
      </c>
      <c r="P329">
        <v>166.6</v>
      </c>
      <c r="Q329">
        <v>192.3</v>
      </c>
      <c r="R329">
        <v>175.4</v>
      </c>
      <c r="S329">
        <v>173.2</v>
      </c>
      <c r="T329">
        <v>175.1</v>
      </c>
      <c r="U329" t="s">
        <v>32</v>
      </c>
      <c r="V329">
        <v>168.9</v>
      </c>
      <c r="W329">
        <v>166.5</v>
      </c>
      <c r="X329">
        <v>176</v>
      </c>
      <c r="Y329">
        <v>162</v>
      </c>
      <c r="Z329">
        <v>166.6</v>
      </c>
      <c r="AA329">
        <v>170.6</v>
      </c>
      <c r="AB329">
        <v>167.4</v>
      </c>
      <c r="AC329">
        <v>168.3</v>
      </c>
      <c r="AD329">
        <v>168.7</v>
      </c>
    </row>
    <row r="330" spans="1:30">
      <c r="A330" t="s">
        <v>33</v>
      </c>
      <c r="B330">
        <v>2022</v>
      </c>
      <c r="C330" t="s">
        <v>38</v>
      </c>
      <c r="D330">
        <v>153.69999999999999</v>
      </c>
      <c r="E330">
        <v>215.8</v>
      </c>
      <c r="F330">
        <v>167.7</v>
      </c>
      <c r="G330">
        <v>162.6</v>
      </c>
      <c r="H330">
        <v>180</v>
      </c>
      <c r="I330">
        <v>159.6</v>
      </c>
      <c r="J330">
        <v>188.4</v>
      </c>
      <c r="K330">
        <v>163.4</v>
      </c>
      <c r="L330">
        <v>120.3</v>
      </c>
      <c r="M330">
        <v>174.7</v>
      </c>
      <c r="N330">
        <v>157.1</v>
      </c>
      <c r="O330">
        <v>181.5</v>
      </c>
      <c r="P330">
        <v>171.5</v>
      </c>
      <c r="Q330">
        <v>197.5</v>
      </c>
      <c r="R330">
        <v>167.1</v>
      </c>
      <c r="S330">
        <v>152.6</v>
      </c>
      <c r="T330">
        <v>164.9</v>
      </c>
      <c r="U330" t="s">
        <v>151</v>
      </c>
      <c r="V330">
        <v>164.5</v>
      </c>
      <c r="W330">
        <v>158.6</v>
      </c>
      <c r="X330">
        <v>168.2</v>
      </c>
      <c r="Y330">
        <v>154.19999999999999</v>
      </c>
      <c r="Z330">
        <v>160.80000000000001</v>
      </c>
      <c r="AA330">
        <v>162.69999999999999</v>
      </c>
      <c r="AB330">
        <v>166.8</v>
      </c>
      <c r="AC330">
        <v>160.6</v>
      </c>
      <c r="AD330">
        <v>166.5</v>
      </c>
    </row>
    <row r="331" spans="1:30">
      <c r="A331" t="s">
        <v>35</v>
      </c>
      <c r="B331">
        <v>2022</v>
      </c>
      <c r="C331" t="s">
        <v>38</v>
      </c>
      <c r="D331">
        <v>151.30000000000001</v>
      </c>
      <c r="E331">
        <v>210.7</v>
      </c>
      <c r="F331">
        <v>167.8</v>
      </c>
      <c r="G331">
        <v>162.19999999999999</v>
      </c>
      <c r="H331">
        <v>194.6</v>
      </c>
      <c r="I331">
        <v>157.6</v>
      </c>
      <c r="J331">
        <v>166.9</v>
      </c>
      <c r="K331">
        <v>163.9</v>
      </c>
      <c r="L331">
        <v>118.8</v>
      </c>
      <c r="M331">
        <v>177.4</v>
      </c>
      <c r="N331">
        <v>165.3</v>
      </c>
      <c r="O331">
        <v>179.3</v>
      </c>
      <c r="P331">
        <v>168.4</v>
      </c>
      <c r="Q331">
        <v>193.7</v>
      </c>
      <c r="R331">
        <v>172.1</v>
      </c>
      <c r="S331">
        <v>164.6</v>
      </c>
      <c r="T331">
        <v>171.1</v>
      </c>
      <c r="U331" t="s">
        <v>151</v>
      </c>
      <c r="V331">
        <v>167.2</v>
      </c>
      <c r="W331">
        <v>162.80000000000001</v>
      </c>
      <c r="X331">
        <v>173</v>
      </c>
      <c r="Y331">
        <v>157.9</v>
      </c>
      <c r="Z331">
        <v>163.30000000000001</v>
      </c>
      <c r="AA331">
        <v>166</v>
      </c>
      <c r="AB331">
        <v>167.2</v>
      </c>
      <c r="AC331">
        <v>164.6</v>
      </c>
      <c r="AD331">
        <v>167.7</v>
      </c>
    </row>
    <row r="332" spans="1:30">
      <c r="A332" t="s">
        <v>30</v>
      </c>
      <c r="B332">
        <v>2022</v>
      </c>
      <c r="C332" t="s">
        <v>39</v>
      </c>
      <c r="D332">
        <v>151.80000000000001</v>
      </c>
      <c r="E332">
        <v>209.7</v>
      </c>
      <c r="F332">
        <v>164.5</v>
      </c>
      <c r="G332">
        <v>163.80000000000001</v>
      </c>
      <c r="H332">
        <v>207.4</v>
      </c>
      <c r="I332">
        <v>169.7</v>
      </c>
      <c r="J332">
        <v>153.6</v>
      </c>
      <c r="K332">
        <v>165.1</v>
      </c>
      <c r="L332">
        <v>118.2</v>
      </c>
      <c r="M332">
        <v>182.9</v>
      </c>
      <c r="N332">
        <v>172.4</v>
      </c>
      <c r="O332">
        <v>178.9</v>
      </c>
      <c r="P332">
        <v>168.6</v>
      </c>
      <c r="Q332">
        <v>192.8</v>
      </c>
      <c r="R332">
        <v>177.5</v>
      </c>
      <c r="S332">
        <v>175.1</v>
      </c>
      <c r="T332">
        <v>177.1</v>
      </c>
      <c r="U332" t="s">
        <v>32</v>
      </c>
      <c r="V332">
        <v>173.3</v>
      </c>
      <c r="W332">
        <v>167.7</v>
      </c>
      <c r="X332">
        <v>177</v>
      </c>
      <c r="Y332">
        <v>166.2</v>
      </c>
      <c r="Z332">
        <v>167.2</v>
      </c>
      <c r="AA332">
        <v>170.9</v>
      </c>
      <c r="AB332">
        <v>169</v>
      </c>
      <c r="AC332">
        <v>170.2</v>
      </c>
      <c r="AD332">
        <v>170.8</v>
      </c>
    </row>
    <row r="333" spans="1:30">
      <c r="A333" t="s">
        <v>33</v>
      </c>
      <c r="B333">
        <v>2022</v>
      </c>
      <c r="C333" t="s">
        <v>39</v>
      </c>
      <c r="D333">
        <v>155.4</v>
      </c>
      <c r="E333">
        <v>215.8</v>
      </c>
      <c r="F333">
        <v>164.6</v>
      </c>
      <c r="G333">
        <v>164.2</v>
      </c>
      <c r="H333">
        <v>186</v>
      </c>
      <c r="I333">
        <v>175.9</v>
      </c>
      <c r="J333">
        <v>190.7</v>
      </c>
      <c r="K333">
        <v>164</v>
      </c>
      <c r="L333">
        <v>120.5</v>
      </c>
      <c r="M333">
        <v>178</v>
      </c>
      <c r="N333">
        <v>157.5</v>
      </c>
      <c r="O333">
        <v>183.3</v>
      </c>
      <c r="P333">
        <v>174.5</v>
      </c>
      <c r="Q333">
        <v>197.1</v>
      </c>
      <c r="R333">
        <v>168.4</v>
      </c>
      <c r="S333">
        <v>154.5</v>
      </c>
      <c r="T333">
        <v>166.3</v>
      </c>
      <c r="U333" t="s">
        <v>152</v>
      </c>
      <c r="V333">
        <v>170.5</v>
      </c>
      <c r="W333">
        <v>159.80000000000001</v>
      </c>
      <c r="X333">
        <v>169</v>
      </c>
      <c r="Y333">
        <v>159.30000000000001</v>
      </c>
      <c r="Z333">
        <v>162.19999999999999</v>
      </c>
      <c r="AA333">
        <v>164</v>
      </c>
      <c r="AB333">
        <v>168.4</v>
      </c>
      <c r="AC333">
        <v>163.1</v>
      </c>
      <c r="AD333">
        <v>169.2</v>
      </c>
    </row>
    <row r="334" spans="1:30">
      <c r="A334" t="s">
        <v>35</v>
      </c>
      <c r="B334">
        <v>2022</v>
      </c>
      <c r="C334" t="s">
        <v>39</v>
      </c>
      <c r="D334">
        <v>152.9</v>
      </c>
      <c r="E334">
        <v>211.8</v>
      </c>
      <c r="F334">
        <v>164.5</v>
      </c>
      <c r="G334">
        <v>163.9</v>
      </c>
      <c r="H334">
        <v>199.5</v>
      </c>
      <c r="I334">
        <v>172.6</v>
      </c>
      <c r="J334">
        <v>166.2</v>
      </c>
      <c r="K334">
        <v>164.7</v>
      </c>
      <c r="L334">
        <v>119</v>
      </c>
      <c r="M334">
        <v>181.3</v>
      </c>
      <c r="N334">
        <v>166.2</v>
      </c>
      <c r="O334">
        <v>180.9</v>
      </c>
      <c r="P334">
        <v>170.8</v>
      </c>
      <c r="Q334">
        <v>193.9</v>
      </c>
      <c r="R334">
        <v>173.9</v>
      </c>
      <c r="S334">
        <v>166.5</v>
      </c>
      <c r="T334">
        <v>172.8</v>
      </c>
      <c r="U334" t="s">
        <v>152</v>
      </c>
      <c r="V334">
        <v>172.2</v>
      </c>
      <c r="W334">
        <v>164</v>
      </c>
      <c r="X334">
        <v>174</v>
      </c>
      <c r="Y334">
        <v>162.6</v>
      </c>
      <c r="Z334">
        <v>164.4</v>
      </c>
      <c r="AA334">
        <v>166.9</v>
      </c>
      <c r="AB334">
        <v>168.8</v>
      </c>
      <c r="AC334">
        <v>166.8</v>
      </c>
      <c r="AD334">
        <v>170.1</v>
      </c>
    </row>
    <row r="335" spans="1:30">
      <c r="A335" t="s">
        <v>30</v>
      </c>
      <c r="B335">
        <v>2022</v>
      </c>
      <c r="C335" t="s">
        <v>41</v>
      </c>
      <c r="D335">
        <v>152.9</v>
      </c>
      <c r="E335">
        <v>214.7</v>
      </c>
      <c r="F335">
        <v>161.4</v>
      </c>
      <c r="G335">
        <v>164.6</v>
      </c>
      <c r="H335">
        <v>209.9</v>
      </c>
      <c r="I335">
        <v>168</v>
      </c>
      <c r="J335">
        <v>160.4</v>
      </c>
      <c r="K335">
        <v>165</v>
      </c>
      <c r="L335">
        <v>118.9</v>
      </c>
      <c r="M335">
        <v>186.6</v>
      </c>
      <c r="N335">
        <v>173.2</v>
      </c>
      <c r="O335">
        <v>180.4</v>
      </c>
      <c r="P335">
        <v>170.8</v>
      </c>
      <c r="Q335">
        <v>192.9</v>
      </c>
      <c r="R335">
        <v>179.3</v>
      </c>
      <c r="S335">
        <v>177.2</v>
      </c>
      <c r="T335">
        <v>179</v>
      </c>
      <c r="U335" t="s">
        <v>32</v>
      </c>
      <c r="V335">
        <v>175.3</v>
      </c>
      <c r="W335">
        <v>168.9</v>
      </c>
      <c r="X335">
        <v>177.7</v>
      </c>
      <c r="Y335">
        <v>167.1</v>
      </c>
      <c r="Z335">
        <v>167.6</v>
      </c>
      <c r="AA335">
        <v>171.8</v>
      </c>
      <c r="AB335">
        <v>168.5</v>
      </c>
      <c r="AC335">
        <v>170.9</v>
      </c>
      <c r="AD335">
        <v>172.5</v>
      </c>
    </row>
    <row r="336" spans="1:30">
      <c r="A336" t="s">
        <v>33</v>
      </c>
      <c r="B336">
        <v>2022</v>
      </c>
      <c r="C336" t="s">
        <v>41</v>
      </c>
      <c r="D336">
        <v>156.69999999999999</v>
      </c>
      <c r="E336">
        <v>221.2</v>
      </c>
      <c r="F336">
        <v>164.1</v>
      </c>
      <c r="G336">
        <v>165.4</v>
      </c>
      <c r="H336">
        <v>189.5</v>
      </c>
      <c r="I336">
        <v>174.5</v>
      </c>
      <c r="J336">
        <v>203.2</v>
      </c>
      <c r="K336">
        <v>164.1</v>
      </c>
      <c r="L336">
        <v>121.2</v>
      </c>
      <c r="M336">
        <v>181.4</v>
      </c>
      <c r="N336">
        <v>158.5</v>
      </c>
      <c r="O336">
        <v>184.9</v>
      </c>
      <c r="P336">
        <v>177.5</v>
      </c>
      <c r="Q336">
        <v>197.5</v>
      </c>
      <c r="R336">
        <v>170</v>
      </c>
      <c r="S336">
        <v>155.9</v>
      </c>
      <c r="T336">
        <v>167.8</v>
      </c>
      <c r="U336" t="s">
        <v>153</v>
      </c>
      <c r="V336">
        <v>173.5</v>
      </c>
      <c r="W336">
        <v>161.1</v>
      </c>
      <c r="X336">
        <v>170.1</v>
      </c>
      <c r="Y336">
        <v>159.4</v>
      </c>
      <c r="Z336">
        <v>163.19999999999999</v>
      </c>
      <c r="AA336">
        <v>165.2</v>
      </c>
      <c r="AB336">
        <v>168.2</v>
      </c>
      <c r="AC336">
        <v>163.80000000000001</v>
      </c>
      <c r="AD336">
        <v>170.8</v>
      </c>
    </row>
    <row r="337" spans="1:30">
      <c r="A337" t="s">
        <v>35</v>
      </c>
      <c r="B337">
        <v>2022</v>
      </c>
      <c r="C337" t="s">
        <v>41</v>
      </c>
      <c r="D337">
        <v>154.1</v>
      </c>
      <c r="E337">
        <v>217</v>
      </c>
      <c r="F337">
        <v>162.4</v>
      </c>
      <c r="G337">
        <v>164.9</v>
      </c>
      <c r="H337">
        <v>202.4</v>
      </c>
      <c r="I337">
        <v>171</v>
      </c>
      <c r="J337">
        <v>174.9</v>
      </c>
      <c r="K337">
        <v>164.7</v>
      </c>
      <c r="L337">
        <v>119.7</v>
      </c>
      <c r="M337">
        <v>184.9</v>
      </c>
      <c r="N337">
        <v>167.1</v>
      </c>
      <c r="O337">
        <v>182.5</v>
      </c>
      <c r="P337">
        <v>173.3</v>
      </c>
      <c r="Q337">
        <v>194.1</v>
      </c>
      <c r="R337">
        <v>175.6</v>
      </c>
      <c r="S337">
        <v>168.4</v>
      </c>
      <c r="T337">
        <v>174.6</v>
      </c>
      <c r="U337" t="s">
        <v>153</v>
      </c>
      <c r="V337">
        <v>174.6</v>
      </c>
      <c r="W337">
        <v>165.2</v>
      </c>
      <c r="X337">
        <v>174.8</v>
      </c>
      <c r="Y337">
        <v>163</v>
      </c>
      <c r="Z337">
        <v>165.1</v>
      </c>
      <c r="AA337">
        <v>167.9</v>
      </c>
      <c r="AB337">
        <v>168.4</v>
      </c>
      <c r="AC337">
        <v>167.5</v>
      </c>
      <c r="AD337">
        <v>171.7</v>
      </c>
    </row>
    <row r="338" spans="1:30">
      <c r="A338" t="s">
        <v>30</v>
      </c>
      <c r="B338">
        <v>2022</v>
      </c>
      <c r="C338" t="s">
        <v>42</v>
      </c>
      <c r="D338">
        <v>153.80000000000001</v>
      </c>
      <c r="E338">
        <v>217.2</v>
      </c>
      <c r="F338">
        <v>169.6</v>
      </c>
      <c r="G338">
        <v>165.4</v>
      </c>
      <c r="H338">
        <v>208.1</v>
      </c>
      <c r="I338">
        <v>165.8</v>
      </c>
      <c r="J338">
        <v>167.3</v>
      </c>
      <c r="K338">
        <v>164.6</v>
      </c>
      <c r="L338">
        <v>119.1</v>
      </c>
      <c r="M338">
        <v>188.9</v>
      </c>
      <c r="N338">
        <v>174.2</v>
      </c>
      <c r="O338">
        <v>181.9</v>
      </c>
      <c r="P338">
        <v>172.4</v>
      </c>
      <c r="Q338">
        <v>192.9</v>
      </c>
      <c r="R338">
        <v>180.7</v>
      </c>
      <c r="S338">
        <v>178.7</v>
      </c>
      <c r="T338">
        <v>180.4</v>
      </c>
      <c r="U338" t="s">
        <v>32</v>
      </c>
      <c r="V338">
        <v>176.7</v>
      </c>
      <c r="W338">
        <v>170.3</v>
      </c>
      <c r="X338">
        <v>178.2</v>
      </c>
      <c r="Y338">
        <v>165.5</v>
      </c>
      <c r="Z338">
        <v>168</v>
      </c>
      <c r="AA338">
        <v>172.6</v>
      </c>
      <c r="AB338">
        <v>169.5</v>
      </c>
      <c r="AC338">
        <v>171</v>
      </c>
      <c r="AD338">
        <v>173.6</v>
      </c>
    </row>
    <row r="339" spans="1:30">
      <c r="A339" t="s">
        <v>33</v>
      </c>
      <c r="B339">
        <v>2022</v>
      </c>
      <c r="C339" t="s">
        <v>42</v>
      </c>
      <c r="D339">
        <v>157.5</v>
      </c>
      <c r="E339">
        <v>223.4</v>
      </c>
      <c r="F339">
        <v>172.8</v>
      </c>
      <c r="G339">
        <v>166.4</v>
      </c>
      <c r="H339">
        <v>188.6</v>
      </c>
      <c r="I339">
        <v>174.1</v>
      </c>
      <c r="J339">
        <v>211.5</v>
      </c>
      <c r="K339">
        <v>163.6</v>
      </c>
      <c r="L339">
        <v>121.4</v>
      </c>
      <c r="M339">
        <v>183.5</v>
      </c>
      <c r="N339">
        <v>159.1</v>
      </c>
      <c r="O339">
        <v>186.3</v>
      </c>
      <c r="P339">
        <v>179.3</v>
      </c>
      <c r="Q339">
        <v>198.3</v>
      </c>
      <c r="R339">
        <v>171.6</v>
      </c>
      <c r="S339">
        <v>157.4</v>
      </c>
      <c r="T339">
        <v>169.4</v>
      </c>
      <c r="U339" t="s">
        <v>154</v>
      </c>
      <c r="V339">
        <v>174.9</v>
      </c>
      <c r="W339">
        <v>162.1</v>
      </c>
      <c r="X339">
        <v>170.9</v>
      </c>
      <c r="Y339">
        <v>157.19999999999999</v>
      </c>
      <c r="Z339">
        <v>164.1</v>
      </c>
      <c r="AA339">
        <v>166.5</v>
      </c>
      <c r="AB339">
        <v>169.2</v>
      </c>
      <c r="AC339">
        <v>163.80000000000001</v>
      </c>
      <c r="AD339">
        <v>171.4</v>
      </c>
    </row>
    <row r="340" spans="1:30">
      <c r="A340" t="s">
        <v>35</v>
      </c>
      <c r="B340">
        <v>2022</v>
      </c>
      <c r="C340" t="s">
        <v>42</v>
      </c>
      <c r="D340">
        <v>155</v>
      </c>
      <c r="E340">
        <v>219.4</v>
      </c>
      <c r="F340">
        <v>170.8</v>
      </c>
      <c r="G340">
        <v>165.8</v>
      </c>
      <c r="H340">
        <v>200.9</v>
      </c>
      <c r="I340">
        <v>169.7</v>
      </c>
      <c r="J340">
        <v>182.3</v>
      </c>
      <c r="K340">
        <v>164.3</v>
      </c>
      <c r="L340">
        <v>119.9</v>
      </c>
      <c r="M340">
        <v>187.1</v>
      </c>
      <c r="N340">
        <v>167.9</v>
      </c>
      <c r="O340">
        <v>183.9</v>
      </c>
      <c r="P340">
        <v>174.9</v>
      </c>
      <c r="Q340">
        <v>194.3</v>
      </c>
      <c r="R340">
        <v>177.1</v>
      </c>
      <c r="S340">
        <v>169.9</v>
      </c>
      <c r="T340">
        <v>176</v>
      </c>
      <c r="U340" t="s">
        <v>154</v>
      </c>
      <c r="V340">
        <v>176</v>
      </c>
      <c r="W340">
        <v>166.4</v>
      </c>
      <c r="X340">
        <v>175.4</v>
      </c>
      <c r="Y340">
        <v>161.1</v>
      </c>
      <c r="Z340">
        <v>165.8</v>
      </c>
      <c r="AA340">
        <v>169</v>
      </c>
      <c r="AB340">
        <v>169.4</v>
      </c>
      <c r="AC340">
        <v>167.5</v>
      </c>
      <c r="AD340">
        <v>172.6</v>
      </c>
    </row>
    <row r="341" spans="1:30">
      <c r="A341" t="s">
        <v>30</v>
      </c>
      <c r="B341">
        <v>2022</v>
      </c>
      <c r="C341" t="s">
        <v>44</v>
      </c>
      <c r="D341">
        <v>155.19999999999999</v>
      </c>
      <c r="E341">
        <v>210.8</v>
      </c>
      <c r="F341">
        <v>174.3</v>
      </c>
      <c r="G341">
        <v>166.3</v>
      </c>
      <c r="H341">
        <v>202.2</v>
      </c>
      <c r="I341">
        <v>169.6</v>
      </c>
      <c r="J341">
        <v>168.6</v>
      </c>
      <c r="K341">
        <v>164.4</v>
      </c>
      <c r="L341">
        <v>119.2</v>
      </c>
      <c r="M341">
        <v>191.8</v>
      </c>
      <c r="N341">
        <v>174.5</v>
      </c>
      <c r="O341">
        <v>183.1</v>
      </c>
      <c r="P341">
        <v>172.5</v>
      </c>
      <c r="Q341">
        <v>193.2</v>
      </c>
      <c r="R341">
        <v>182</v>
      </c>
      <c r="S341">
        <v>180.3</v>
      </c>
      <c r="T341">
        <v>181.7</v>
      </c>
      <c r="U341" t="s">
        <v>32</v>
      </c>
      <c r="V341">
        <v>179.6</v>
      </c>
      <c r="W341">
        <v>171.3</v>
      </c>
      <c r="X341">
        <v>178.8</v>
      </c>
      <c r="Y341">
        <v>166.3</v>
      </c>
      <c r="Z341">
        <v>168.6</v>
      </c>
      <c r="AA341">
        <v>174.7</v>
      </c>
      <c r="AB341">
        <v>169.7</v>
      </c>
      <c r="AC341">
        <v>171.8</v>
      </c>
      <c r="AD341">
        <v>174.3</v>
      </c>
    </row>
    <row r="342" spans="1:30">
      <c r="A342" t="s">
        <v>33</v>
      </c>
      <c r="B342">
        <v>2022</v>
      </c>
      <c r="C342" t="s">
        <v>44</v>
      </c>
      <c r="D342">
        <v>159.30000000000001</v>
      </c>
      <c r="E342">
        <v>217.1</v>
      </c>
      <c r="F342">
        <v>176.6</v>
      </c>
      <c r="G342">
        <v>167.1</v>
      </c>
      <c r="H342">
        <v>184.8</v>
      </c>
      <c r="I342">
        <v>179.5</v>
      </c>
      <c r="J342">
        <v>208.5</v>
      </c>
      <c r="K342">
        <v>164</v>
      </c>
      <c r="L342">
        <v>121.5</v>
      </c>
      <c r="M342">
        <v>186.3</v>
      </c>
      <c r="N342">
        <v>159.80000000000001</v>
      </c>
      <c r="O342">
        <v>187.7</v>
      </c>
      <c r="P342">
        <v>179.4</v>
      </c>
      <c r="Q342">
        <v>198.6</v>
      </c>
      <c r="R342">
        <v>172.7</v>
      </c>
      <c r="S342">
        <v>158.69999999999999</v>
      </c>
      <c r="T342">
        <v>170.6</v>
      </c>
      <c r="U342" t="s">
        <v>155</v>
      </c>
      <c r="V342">
        <v>179.5</v>
      </c>
      <c r="W342">
        <v>163.1</v>
      </c>
      <c r="X342">
        <v>171.7</v>
      </c>
      <c r="Y342">
        <v>157.4</v>
      </c>
      <c r="Z342">
        <v>164.6</v>
      </c>
      <c r="AA342">
        <v>169.1</v>
      </c>
      <c r="AB342">
        <v>169.8</v>
      </c>
      <c r="AC342">
        <v>164.7</v>
      </c>
      <c r="AD342">
        <v>172.3</v>
      </c>
    </row>
    <row r="343" spans="1:30">
      <c r="A343" t="s">
        <v>35</v>
      </c>
      <c r="B343">
        <v>2022</v>
      </c>
      <c r="C343" t="s">
        <v>44</v>
      </c>
      <c r="D343">
        <v>156.5</v>
      </c>
      <c r="E343">
        <v>213</v>
      </c>
      <c r="F343">
        <v>175.2</v>
      </c>
      <c r="G343">
        <v>166.6</v>
      </c>
      <c r="H343">
        <v>195.8</v>
      </c>
      <c r="I343">
        <v>174.2</v>
      </c>
      <c r="J343">
        <v>182.1</v>
      </c>
      <c r="K343">
        <v>164.3</v>
      </c>
      <c r="L343">
        <v>120</v>
      </c>
      <c r="M343">
        <v>190</v>
      </c>
      <c r="N343">
        <v>168.4</v>
      </c>
      <c r="O343">
        <v>185.2</v>
      </c>
      <c r="P343">
        <v>175</v>
      </c>
      <c r="Q343">
        <v>194.6</v>
      </c>
      <c r="R343">
        <v>178.3</v>
      </c>
      <c r="S343">
        <v>171.3</v>
      </c>
      <c r="T343">
        <v>177.3</v>
      </c>
      <c r="U343" t="s">
        <v>155</v>
      </c>
      <c r="V343">
        <v>179.6</v>
      </c>
      <c r="W343">
        <v>167.4</v>
      </c>
      <c r="X343">
        <v>176.1</v>
      </c>
      <c r="Y343">
        <v>161.6</v>
      </c>
      <c r="Z343">
        <v>166.3</v>
      </c>
      <c r="AA343">
        <v>171.4</v>
      </c>
      <c r="AB343">
        <v>169.7</v>
      </c>
      <c r="AC343">
        <v>168.4</v>
      </c>
      <c r="AD343">
        <v>173.4</v>
      </c>
    </row>
    <row r="344" spans="1:30">
      <c r="A344" t="s">
        <v>30</v>
      </c>
      <c r="B344">
        <v>2022</v>
      </c>
      <c r="C344" t="s">
        <v>46</v>
      </c>
      <c r="D344">
        <v>159.5</v>
      </c>
      <c r="E344">
        <v>204.1</v>
      </c>
      <c r="F344">
        <v>168.3</v>
      </c>
      <c r="G344">
        <v>167.9</v>
      </c>
      <c r="H344">
        <v>198.1</v>
      </c>
      <c r="I344">
        <v>169.2</v>
      </c>
      <c r="J344">
        <v>173.1</v>
      </c>
      <c r="K344">
        <v>167.1</v>
      </c>
      <c r="L344">
        <v>120.2</v>
      </c>
      <c r="M344">
        <v>195.6</v>
      </c>
      <c r="N344">
        <v>174.8</v>
      </c>
      <c r="O344">
        <v>184</v>
      </c>
      <c r="P344">
        <v>173.9</v>
      </c>
      <c r="Q344">
        <v>193.7</v>
      </c>
      <c r="R344">
        <v>183.2</v>
      </c>
      <c r="S344">
        <v>181.7</v>
      </c>
      <c r="T344">
        <v>183</v>
      </c>
      <c r="U344" t="s">
        <v>32</v>
      </c>
      <c r="V344">
        <v>179.1</v>
      </c>
      <c r="W344">
        <v>172.3</v>
      </c>
      <c r="X344">
        <v>179.4</v>
      </c>
      <c r="Y344">
        <v>166.6</v>
      </c>
      <c r="Z344">
        <v>169.3</v>
      </c>
      <c r="AA344">
        <v>175.7</v>
      </c>
      <c r="AB344">
        <v>171.1</v>
      </c>
      <c r="AC344">
        <v>172.6</v>
      </c>
      <c r="AD344">
        <v>175.3</v>
      </c>
    </row>
    <row r="345" spans="1:30">
      <c r="A345" t="s">
        <v>33</v>
      </c>
      <c r="B345">
        <v>2022</v>
      </c>
      <c r="C345" t="s">
        <v>46</v>
      </c>
      <c r="D345">
        <v>162.1</v>
      </c>
      <c r="E345">
        <v>210.9</v>
      </c>
      <c r="F345">
        <v>170.6</v>
      </c>
      <c r="G345">
        <v>168.4</v>
      </c>
      <c r="H345">
        <v>182.5</v>
      </c>
      <c r="I345">
        <v>177.1</v>
      </c>
      <c r="J345">
        <v>213.1</v>
      </c>
      <c r="K345">
        <v>167.3</v>
      </c>
      <c r="L345">
        <v>122.2</v>
      </c>
      <c r="M345">
        <v>189.7</v>
      </c>
      <c r="N345">
        <v>160.5</v>
      </c>
      <c r="O345">
        <v>188.9</v>
      </c>
      <c r="P345">
        <v>180.4</v>
      </c>
      <c r="Q345">
        <v>198.7</v>
      </c>
      <c r="R345">
        <v>173.7</v>
      </c>
      <c r="S345">
        <v>160</v>
      </c>
      <c r="T345">
        <v>171.6</v>
      </c>
      <c r="U345" t="s">
        <v>156</v>
      </c>
      <c r="V345">
        <v>178.4</v>
      </c>
      <c r="W345">
        <v>164.2</v>
      </c>
      <c r="X345">
        <v>172.6</v>
      </c>
      <c r="Y345">
        <v>157.69999999999999</v>
      </c>
      <c r="Z345">
        <v>165.1</v>
      </c>
      <c r="AA345">
        <v>169.9</v>
      </c>
      <c r="AB345">
        <v>171.4</v>
      </c>
      <c r="AC345">
        <v>165.4</v>
      </c>
      <c r="AD345">
        <v>173.1</v>
      </c>
    </row>
    <row r="346" spans="1:30">
      <c r="A346" t="s">
        <v>35</v>
      </c>
      <c r="B346">
        <v>2022</v>
      </c>
      <c r="C346" t="s">
        <v>46</v>
      </c>
      <c r="D346">
        <v>160.30000000000001</v>
      </c>
      <c r="E346">
        <v>206.5</v>
      </c>
      <c r="F346">
        <v>169.2</v>
      </c>
      <c r="G346">
        <v>168.1</v>
      </c>
      <c r="H346">
        <v>192.4</v>
      </c>
      <c r="I346">
        <v>172.9</v>
      </c>
      <c r="J346">
        <v>186.7</v>
      </c>
      <c r="K346">
        <v>167.2</v>
      </c>
      <c r="L346">
        <v>120.9</v>
      </c>
      <c r="M346">
        <v>193.6</v>
      </c>
      <c r="N346">
        <v>168.8</v>
      </c>
      <c r="O346">
        <v>186.3</v>
      </c>
      <c r="P346">
        <v>176.3</v>
      </c>
      <c r="Q346">
        <v>195</v>
      </c>
      <c r="R346">
        <v>179.5</v>
      </c>
      <c r="S346">
        <v>172.7</v>
      </c>
      <c r="T346">
        <v>178.5</v>
      </c>
      <c r="U346" t="s">
        <v>156</v>
      </c>
      <c r="V346">
        <v>178.8</v>
      </c>
      <c r="W346">
        <v>168.5</v>
      </c>
      <c r="X346">
        <v>176.8</v>
      </c>
      <c r="Y346">
        <v>161.9</v>
      </c>
      <c r="Z346">
        <v>166.9</v>
      </c>
      <c r="AA346">
        <v>172.3</v>
      </c>
      <c r="AB346">
        <v>171.2</v>
      </c>
      <c r="AC346">
        <v>169.1</v>
      </c>
      <c r="AD346">
        <v>174.3</v>
      </c>
    </row>
    <row r="347" spans="1:30">
      <c r="A347" t="s">
        <v>30</v>
      </c>
      <c r="B347">
        <v>2022</v>
      </c>
      <c r="C347" t="s">
        <v>48</v>
      </c>
      <c r="D347">
        <v>162.9</v>
      </c>
      <c r="E347">
        <v>206.7</v>
      </c>
      <c r="F347">
        <v>169</v>
      </c>
      <c r="G347">
        <v>169.5</v>
      </c>
      <c r="H347">
        <v>194.1</v>
      </c>
      <c r="I347">
        <v>164.1</v>
      </c>
      <c r="J347">
        <v>176.9</v>
      </c>
      <c r="K347">
        <v>169</v>
      </c>
      <c r="L347">
        <v>120.8</v>
      </c>
      <c r="M347">
        <v>199.1</v>
      </c>
      <c r="N347">
        <v>175.4</v>
      </c>
      <c r="O347">
        <v>184.8</v>
      </c>
      <c r="P347">
        <v>175.5</v>
      </c>
      <c r="Q347">
        <v>194.5</v>
      </c>
      <c r="R347">
        <v>184.7</v>
      </c>
      <c r="S347">
        <v>183.3</v>
      </c>
      <c r="T347">
        <v>184.5</v>
      </c>
      <c r="U347" t="s">
        <v>32</v>
      </c>
      <c r="V347">
        <v>179.7</v>
      </c>
      <c r="W347">
        <v>173.6</v>
      </c>
      <c r="X347">
        <v>180.2</v>
      </c>
      <c r="Y347">
        <v>166.9</v>
      </c>
      <c r="Z347">
        <v>170</v>
      </c>
      <c r="AA347">
        <v>176.2</v>
      </c>
      <c r="AB347">
        <v>170.8</v>
      </c>
      <c r="AC347">
        <v>173.1</v>
      </c>
      <c r="AD347">
        <v>176.4</v>
      </c>
    </row>
    <row r="348" spans="1:30">
      <c r="A348" t="s">
        <v>33</v>
      </c>
      <c r="B348">
        <v>2022</v>
      </c>
      <c r="C348" t="s">
        <v>48</v>
      </c>
      <c r="D348">
        <v>164.9</v>
      </c>
      <c r="E348">
        <v>213.7</v>
      </c>
      <c r="F348">
        <v>170.9</v>
      </c>
      <c r="G348">
        <v>170.1</v>
      </c>
      <c r="H348">
        <v>179.3</v>
      </c>
      <c r="I348">
        <v>167.5</v>
      </c>
      <c r="J348">
        <v>220.8</v>
      </c>
      <c r="K348">
        <v>169.2</v>
      </c>
      <c r="L348">
        <v>123.1</v>
      </c>
      <c r="M348">
        <v>193.6</v>
      </c>
      <c r="N348">
        <v>161.1</v>
      </c>
      <c r="O348">
        <v>190.4</v>
      </c>
      <c r="P348">
        <v>181.8</v>
      </c>
      <c r="Q348">
        <v>199.7</v>
      </c>
      <c r="R348">
        <v>175</v>
      </c>
      <c r="S348">
        <v>161.69999999999999</v>
      </c>
      <c r="T348">
        <v>173</v>
      </c>
      <c r="U348" t="s">
        <v>157</v>
      </c>
      <c r="V348">
        <v>179.2</v>
      </c>
      <c r="W348">
        <v>165</v>
      </c>
      <c r="X348">
        <v>173.8</v>
      </c>
      <c r="Y348">
        <v>158.19999999999999</v>
      </c>
      <c r="Z348">
        <v>165.8</v>
      </c>
      <c r="AA348">
        <v>170.9</v>
      </c>
      <c r="AB348">
        <v>171.1</v>
      </c>
      <c r="AC348">
        <v>166.1</v>
      </c>
      <c r="AD348">
        <v>174.1</v>
      </c>
    </row>
    <row r="349" spans="1:30">
      <c r="A349" t="s">
        <v>35</v>
      </c>
      <c r="B349">
        <v>2022</v>
      </c>
      <c r="C349" t="s">
        <v>48</v>
      </c>
      <c r="D349">
        <v>163.5</v>
      </c>
      <c r="E349">
        <v>209.2</v>
      </c>
      <c r="F349">
        <v>169.7</v>
      </c>
      <c r="G349">
        <v>169.7</v>
      </c>
      <c r="H349">
        <v>188.7</v>
      </c>
      <c r="I349">
        <v>165.7</v>
      </c>
      <c r="J349">
        <v>191.8</v>
      </c>
      <c r="K349">
        <v>169.1</v>
      </c>
      <c r="L349">
        <v>121.6</v>
      </c>
      <c r="M349">
        <v>197.3</v>
      </c>
      <c r="N349">
        <v>169.4</v>
      </c>
      <c r="O349">
        <v>187.4</v>
      </c>
      <c r="P349">
        <v>177.8</v>
      </c>
      <c r="Q349">
        <v>195.9</v>
      </c>
      <c r="R349">
        <v>180.9</v>
      </c>
      <c r="S349">
        <v>174.3</v>
      </c>
      <c r="T349">
        <v>179.9</v>
      </c>
      <c r="U349" t="s">
        <v>157</v>
      </c>
      <c r="V349">
        <v>179.5</v>
      </c>
      <c r="W349">
        <v>169.5</v>
      </c>
      <c r="X349">
        <v>177.8</v>
      </c>
      <c r="Y349">
        <v>162.30000000000001</v>
      </c>
      <c r="Z349">
        <v>167.6</v>
      </c>
      <c r="AA349">
        <v>173.1</v>
      </c>
      <c r="AB349">
        <v>170.9</v>
      </c>
      <c r="AC349">
        <v>169.7</v>
      </c>
      <c r="AD349">
        <v>175.3</v>
      </c>
    </row>
    <row r="350" spans="1:30">
      <c r="A350" t="s">
        <v>30</v>
      </c>
      <c r="B350">
        <v>2022</v>
      </c>
      <c r="C350" t="s">
        <v>50</v>
      </c>
      <c r="D350">
        <v>164.7</v>
      </c>
      <c r="E350">
        <v>208.8</v>
      </c>
      <c r="F350">
        <v>170.3</v>
      </c>
      <c r="G350">
        <v>170.9</v>
      </c>
      <c r="H350">
        <v>191.6</v>
      </c>
      <c r="I350">
        <v>162.19999999999999</v>
      </c>
      <c r="J350">
        <v>184.8</v>
      </c>
      <c r="K350">
        <v>169.7</v>
      </c>
      <c r="L350">
        <v>121.1</v>
      </c>
      <c r="M350">
        <v>201.6</v>
      </c>
      <c r="N350">
        <v>175.8</v>
      </c>
      <c r="O350">
        <v>185.6</v>
      </c>
      <c r="P350">
        <v>177.4</v>
      </c>
      <c r="Q350">
        <v>194.9</v>
      </c>
      <c r="R350">
        <v>186.1</v>
      </c>
      <c r="S350">
        <v>184.4</v>
      </c>
      <c r="T350">
        <v>185.9</v>
      </c>
      <c r="U350" t="s">
        <v>32</v>
      </c>
      <c r="V350">
        <v>180.8</v>
      </c>
      <c r="W350">
        <v>174.4</v>
      </c>
      <c r="X350">
        <v>181.2</v>
      </c>
      <c r="Y350">
        <v>167.4</v>
      </c>
      <c r="Z350">
        <v>170.6</v>
      </c>
      <c r="AA350">
        <v>176.5</v>
      </c>
      <c r="AB350">
        <v>172</v>
      </c>
      <c r="AC350">
        <v>173.9</v>
      </c>
      <c r="AD350">
        <v>177.9</v>
      </c>
    </row>
    <row r="351" spans="1:30">
      <c r="A351" t="s">
        <v>33</v>
      </c>
      <c r="B351">
        <v>2022</v>
      </c>
      <c r="C351" t="s">
        <v>50</v>
      </c>
      <c r="D351">
        <v>166.4</v>
      </c>
      <c r="E351">
        <v>214.9</v>
      </c>
      <c r="F351">
        <v>171.9</v>
      </c>
      <c r="G351">
        <v>171</v>
      </c>
      <c r="H351">
        <v>177.7</v>
      </c>
      <c r="I351">
        <v>165.7</v>
      </c>
      <c r="J351">
        <v>228.6</v>
      </c>
      <c r="K351">
        <v>169.9</v>
      </c>
      <c r="L351">
        <v>123.4</v>
      </c>
      <c r="M351">
        <v>196.4</v>
      </c>
      <c r="N351">
        <v>161.6</v>
      </c>
      <c r="O351">
        <v>191.5</v>
      </c>
      <c r="P351">
        <v>183.3</v>
      </c>
      <c r="Q351">
        <v>200.1</v>
      </c>
      <c r="R351">
        <v>175.5</v>
      </c>
      <c r="S351">
        <v>162.6</v>
      </c>
      <c r="T351">
        <v>173.6</v>
      </c>
      <c r="U351" t="s">
        <v>158</v>
      </c>
      <c r="V351">
        <v>180</v>
      </c>
      <c r="W351">
        <v>166</v>
      </c>
      <c r="X351">
        <v>174.7</v>
      </c>
      <c r="Y351">
        <v>158.80000000000001</v>
      </c>
      <c r="Z351">
        <v>166.3</v>
      </c>
      <c r="AA351">
        <v>171.2</v>
      </c>
      <c r="AB351">
        <v>172.3</v>
      </c>
      <c r="AC351">
        <v>166.8</v>
      </c>
      <c r="AD351">
        <v>175.3</v>
      </c>
    </row>
    <row r="352" spans="1:30">
      <c r="A352" t="s">
        <v>35</v>
      </c>
      <c r="B352">
        <v>2022</v>
      </c>
      <c r="C352" t="s">
        <v>50</v>
      </c>
      <c r="D352">
        <v>165.2</v>
      </c>
      <c r="E352">
        <v>210.9</v>
      </c>
      <c r="F352">
        <v>170.9</v>
      </c>
      <c r="G352">
        <v>170.9</v>
      </c>
      <c r="H352">
        <v>186.5</v>
      </c>
      <c r="I352">
        <v>163.80000000000001</v>
      </c>
      <c r="J352">
        <v>199.7</v>
      </c>
      <c r="K352">
        <v>169.8</v>
      </c>
      <c r="L352">
        <v>121.9</v>
      </c>
      <c r="M352">
        <v>199.9</v>
      </c>
      <c r="N352">
        <v>169.9</v>
      </c>
      <c r="O352">
        <v>188.3</v>
      </c>
      <c r="P352">
        <v>179.6</v>
      </c>
      <c r="Q352">
        <v>196.3</v>
      </c>
      <c r="R352">
        <v>181.9</v>
      </c>
      <c r="S352">
        <v>175.3</v>
      </c>
      <c r="T352">
        <v>181</v>
      </c>
      <c r="U352" t="s">
        <v>158</v>
      </c>
      <c r="V352">
        <v>180.5</v>
      </c>
      <c r="W352">
        <v>170.4</v>
      </c>
      <c r="X352">
        <v>178.7</v>
      </c>
      <c r="Y352">
        <v>162.9</v>
      </c>
      <c r="Z352">
        <v>168.2</v>
      </c>
      <c r="AA352">
        <v>173.4</v>
      </c>
      <c r="AB352">
        <v>172.1</v>
      </c>
      <c r="AC352">
        <v>170.5</v>
      </c>
      <c r="AD352">
        <v>176.7</v>
      </c>
    </row>
    <row r="353" spans="1:30">
      <c r="A353" t="s">
        <v>30</v>
      </c>
      <c r="B353">
        <v>2022</v>
      </c>
      <c r="C353" t="s">
        <v>53</v>
      </c>
      <c r="D353">
        <v>166.9</v>
      </c>
      <c r="E353">
        <v>207.2</v>
      </c>
      <c r="F353">
        <v>180.2</v>
      </c>
      <c r="G353">
        <v>172.3</v>
      </c>
      <c r="H353">
        <v>194</v>
      </c>
      <c r="I353">
        <v>159.1</v>
      </c>
      <c r="J353">
        <v>171.6</v>
      </c>
      <c r="K353">
        <v>170.2</v>
      </c>
      <c r="L353">
        <v>121.5</v>
      </c>
      <c r="M353">
        <v>204.8</v>
      </c>
      <c r="N353">
        <v>176.4</v>
      </c>
      <c r="O353">
        <v>186.9</v>
      </c>
      <c r="P353">
        <v>176.6</v>
      </c>
      <c r="Q353">
        <v>195.5</v>
      </c>
      <c r="R353">
        <v>187.2</v>
      </c>
      <c r="S353">
        <v>185.2</v>
      </c>
      <c r="T353">
        <v>186.9</v>
      </c>
      <c r="U353" t="s">
        <v>32</v>
      </c>
      <c r="V353">
        <v>181.9</v>
      </c>
      <c r="W353">
        <v>175.5</v>
      </c>
      <c r="X353">
        <v>182.3</v>
      </c>
      <c r="Y353">
        <v>167.5</v>
      </c>
      <c r="Z353">
        <v>170.8</v>
      </c>
      <c r="AA353">
        <v>176.9</v>
      </c>
      <c r="AB353">
        <v>173.4</v>
      </c>
      <c r="AC353">
        <v>174.6</v>
      </c>
      <c r="AD353">
        <v>177.8</v>
      </c>
    </row>
    <row r="354" spans="1:30">
      <c r="A354" t="s">
        <v>33</v>
      </c>
      <c r="B354">
        <v>2022</v>
      </c>
      <c r="C354" t="s">
        <v>53</v>
      </c>
      <c r="D354">
        <v>168.4</v>
      </c>
      <c r="E354">
        <v>213.4</v>
      </c>
      <c r="F354">
        <v>183.2</v>
      </c>
      <c r="G354">
        <v>172.3</v>
      </c>
      <c r="H354">
        <v>180</v>
      </c>
      <c r="I354">
        <v>162.6</v>
      </c>
      <c r="J354">
        <v>205.5</v>
      </c>
      <c r="K354">
        <v>171</v>
      </c>
      <c r="L354">
        <v>123.4</v>
      </c>
      <c r="M354">
        <v>198.8</v>
      </c>
      <c r="N354">
        <v>162.1</v>
      </c>
      <c r="O354">
        <v>192.4</v>
      </c>
      <c r="P354">
        <v>181.3</v>
      </c>
      <c r="Q354">
        <v>200.6</v>
      </c>
      <c r="R354">
        <v>176.7</v>
      </c>
      <c r="S354">
        <v>163.5</v>
      </c>
      <c r="T354">
        <v>174.7</v>
      </c>
      <c r="U354" t="s">
        <v>159</v>
      </c>
      <c r="V354">
        <v>180.3</v>
      </c>
      <c r="W354">
        <v>166.9</v>
      </c>
      <c r="X354">
        <v>175.8</v>
      </c>
      <c r="Y354">
        <v>158.9</v>
      </c>
      <c r="Z354">
        <v>166.7</v>
      </c>
      <c r="AA354">
        <v>171.5</v>
      </c>
      <c r="AB354">
        <v>173.8</v>
      </c>
      <c r="AC354">
        <v>167.4</v>
      </c>
      <c r="AD354">
        <v>174.1</v>
      </c>
    </row>
    <row r="355" spans="1:30">
      <c r="A355" t="s">
        <v>35</v>
      </c>
      <c r="B355">
        <v>2022</v>
      </c>
      <c r="C355" t="s">
        <v>53</v>
      </c>
      <c r="D355">
        <v>167.4</v>
      </c>
      <c r="E355">
        <v>209.4</v>
      </c>
      <c r="F355">
        <v>181.4</v>
      </c>
      <c r="G355">
        <v>172.3</v>
      </c>
      <c r="H355">
        <v>188.9</v>
      </c>
      <c r="I355">
        <v>160.69999999999999</v>
      </c>
      <c r="J355">
        <v>183.1</v>
      </c>
      <c r="K355">
        <v>170.5</v>
      </c>
      <c r="L355">
        <v>122.1</v>
      </c>
      <c r="M355">
        <v>202.8</v>
      </c>
      <c r="N355">
        <v>170.4</v>
      </c>
      <c r="O355">
        <v>189.5</v>
      </c>
      <c r="P355">
        <v>178.3</v>
      </c>
      <c r="Q355">
        <v>196.9</v>
      </c>
      <c r="R355">
        <v>183.1</v>
      </c>
      <c r="S355">
        <v>176.2</v>
      </c>
      <c r="T355">
        <v>182.1</v>
      </c>
      <c r="U355" t="s">
        <v>159</v>
      </c>
      <c r="V355">
        <v>181.3</v>
      </c>
      <c r="W355">
        <v>171.4</v>
      </c>
      <c r="X355">
        <v>179.8</v>
      </c>
      <c r="Y355">
        <v>163</v>
      </c>
      <c r="Z355">
        <v>168.5</v>
      </c>
      <c r="AA355">
        <v>173.7</v>
      </c>
      <c r="AB355">
        <v>173.6</v>
      </c>
      <c r="AC355">
        <v>171.1</v>
      </c>
      <c r="AD355">
        <v>176.5</v>
      </c>
    </row>
    <row r="356" spans="1:30">
      <c r="A356" t="s">
        <v>30</v>
      </c>
      <c r="B356">
        <v>2022</v>
      </c>
      <c r="C356" t="s">
        <v>55</v>
      </c>
      <c r="D356">
        <v>168.8</v>
      </c>
      <c r="E356">
        <v>206.9</v>
      </c>
      <c r="F356">
        <v>189.1</v>
      </c>
      <c r="G356">
        <v>173.4</v>
      </c>
      <c r="H356">
        <v>193.9</v>
      </c>
      <c r="I356">
        <v>156.69999999999999</v>
      </c>
      <c r="J356">
        <v>150.19999999999999</v>
      </c>
      <c r="K356">
        <v>170.5</v>
      </c>
      <c r="L356">
        <v>121.2</v>
      </c>
      <c r="M356">
        <v>207.5</v>
      </c>
      <c r="N356">
        <v>176.8</v>
      </c>
      <c r="O356">
        <v>187.7</v>
      </c>
      <c r="P356">
        <v>174.4</v>
      </c>
      <c r="Q356">
        <v>195.9</v>
      </c>
      <c r="R356">
        <v>188.1</v>
      </c>
      <c r="S356">
        <v>185.9</v>
      </c>
      <c r="T356">
        <v>187.8</v>
      </c>
      <c r="U356" t="s">
        <v>32</v>
      </c>
      <c r="V356">
        <v>182.8</v>
      </c>
      <c r="W356">
        <v>176.4</v>
      </c>
      <c r="X356">
        <v>183.5</v>
      </c>
      <c r="Y356">
        <v>167.8</v>
      </c>
      <c r="Z356">
        <v>171.2</v>
      </c>
      <c r="AA356">
        <v>177.3</v>
      </c>
      <c r="AB356">
        <v>175.7</v>
      </c>
      <c r="AC356">
        <v>175.5</v>
      </c>
      <c r="AD356">
        <v>177.1</v>
      </c>
    </row>
    <row r="357" spans="1:30">
      <c r="A357" t="s">
        <v>33</v>
      </c>
      <c r="B357">
        <v>2022</v>
      </c>
      <c r="C357" t="s">
        <v>55</v>
      </c>
      <c r="D357">
        <v>170.2</v>
      </c>
      <c r="E357">
        <v>212.9</v>
      </c>
      <c r="F357">
        <v>191.9</v>
      </c>
      <c r="G357">
        <v>173.9</v>
      </c>
      <c r="H357">
        <v>179.1</v>
      </c>
      <c r="I357">
        <v>159.5</v>
      </c>
      <c r="J357">
        <v>178.7</v>
      </c>
      <c r="K357">
        <v>171.3</v>
      </c>
      <c r="L357">
        <v>123.1</v>
      </c>
      <c r="M357">
        <v>200.5</v>
      </c>
      <c r="N357">
        <v>162.80000000000001</v>
      </c>
      <c r="O357">
        <v>193.3</v>
      </c>
      <c r="P357">
        <v>178.6</v>
      </c>
      <c r="Q357">
        <v>201.1</v>
      </c>
      <c r="R357">
        <v>177.7</v>
      </c>
      <c r="S357">
        <v>164.5</v>
      </c>
      <c r="T357">
        <v>175.7</v>
      </c>
      <c r="U357" t="s">
        <v>160</v>
      </c>
      <c r="V357">
        <v>180.6</v>
      </c>
      <c r="W357">
        <v>167.3</v>
      </c>
      <c r="X357">
        <v>177.2</v>
      </c>
      <c r="Y357">
        <v>159.4</v>
      </c>
      <c r="Z357">
        <v>167.1</v>
      </c>
      <c r="AA357">
        <v>171.8</v>
      </c>
      <c r="AB357">
        <v>176</v>
      </c>
      <c r="AC357">
        <v>168.2</v>
      </c>
      <c r="AD357">
        <v>174.1</v>
      </c>
    </row>
    <row r="358" spans="1:30">
      <c r="A358" t="s">
        <v>35</v>
      </c>
      <c r="B358">
        <v>2022</v>
      </c>
      <c r="C358" t="s">
        <v>55</v>
      </c>
      <c r="D358">
        <v>169.2</v>
      </c>
      <c r="E358">
        <v>209</v>
      </c>
      <c r="F358">
        <v>190.2</v>
      </c>
      <c r="G358">
        <v>173.6</v>
      </c>
      <c r="H358">
        <v>188.5</v>
      </c>
      <c r="I358">
        <v>158</v>
      </c>
      <c r="J358">
        <v>159.9</v>
      </c>
      <c r="K358">
        <v>170.8</v>
      </c>
      <c r="L358">
        <v>121.8</v>
      </c>
      <c r="M358">
        <v>205.2</v>
      </c>
      <c r="N358">
        <v>171</v>
      </c>
      <c r="O358">
        <v>190.3</v>
      </c>
      <c r="P358">
        <v>175.9</v>
      </c>
      <c r="Q358">
        <v>197.3</v>
      </c>
      <c r="R358">
        <v>184</v>
      </c>
      <c r="S358">
        <v>177</v>
      </c>
      <c r="T358">
        <v>183</v>
      </c>
      <c r="U358" t="s">
        <v>160</v>
      </c>
      <c r="V358">
        <v>182</v>
      </c>
      <c r="W358">
        <v>172.1</v>
      </c>
      <c r="X358">
        <v>181.1</v>
      </c>
      <c r="Y358">
        <v>163.4</v>
      </c>
      <c r="Z358">
        <v>168.9</v>
      </c>
      <c r="AA358">
        <v>174.1</v>
      </c>
      <c r="AB358">
        <v>175.8</v>
      </c>
      <c r="AC358">
        <v>172</v>
      </c>
      <c r="AD358">
        <v>175.7</v>
      </c>
    </row>
    <row r="359" spans="1:30">
      <c r="A359" t="s">
        <v>30</v>
      </c>
      <c r="B359">
        <v>2023</v>
      </c>
      <c r="C359" t="s">
        <v>31</v>
      </c>
      <c r="D359">
        <v>174</v>
      </c>
      <c r="E359">
        <v>208.3</v>
      </c>
      <c r="F359">
        <v>192.9</v>
      </c>
      <c r="G359">
        <v>174.3</v>
      </c>
      <c r="H359">
        <v>192.6</v>
      </c>
      <c r="I359">
        <v>156.30000000000001</v>
      </c>
      <c r="J359">
        <v>142.9</v>
      </c>
      <c r="K359">
        <v>170.7</v>
      </c>
      <c r="L359">
        <v>120.3</v>
      </c>
      <c r="M359">
        <v>210.5</v>
      </c>
      <c r="N359">
        <v>176.9</v>
      </c>
      <c r="O359">
        <v>188.5</v>
      </c>
      <c r="P359">
        <v>175</v>
      </c>
      <c r="Q359">
        <v>196.9</v>
      </c>
      <c r="R359">
        <v>189</v>
      </c>
      <c r="S359">
        <v>186.3</v>
      </c>
      <c r="T359">
        <v>188.6</v>
      </c>
      <c r="U359" t="s">
        <v>32</v>
      </c>
      <c r="V359">
        <v>183.2</v>
      </c>
      <c r="W359">
        <v>177.2</v>
      </c>
      <c r="X359">
        <v>184.7</v>
      </c>
      <c r="Y359">
        <v>168.2</v>
      </c>
      <c r="Z359">
        <v>171.8</v>
      </c>
      <c r="AA359">
        <v>177.8</v>
      </c>
      <c r="AB359">
        <v>178.4</v>
      </c>
      <c r="AC359">
        <v>176.5</v>
      </c>
      <c r="AD359">
        <v>177.8</v>
      </c>
    </row>
    <row r="360" spans="1:30">
      <c r="A360" t="s">
        <v>33</v>
      </c>
      <c r="B360">
        <v>2023</v>
      </c>
      <c r="C360" t="s">
        <v>31</v>
      </c>
      <c r="D360">
        <v>173.3</v>
      </c>
      <c r="E360">
        <v>215.2</v>
      </c>
      <c r="F360">
        <v>197</v>
      </c>
      <c r="G360">
        <v>175.2</v>
      </c>
      <c r="H360">
        <v>178</v>
      </c>
      <c r="I360">
        <v>160.5</v>
      </c>
      <c r="J360">
        <v>175.3</v>
      </c>
      <c r="K360">
        <v>171.2</v>
      </c>
      <c r="L360">
        <v>122.7</v>
      </c>
      <c r="M360">
        <v>204.3</v>
      </c>
      <c r="N360">
        <v>163.69999999999999</v>
      </c>
      <c r="O360">
        <v>194.3</v>
      </c>
      <c r="P360">
        <v>179.5</v>
      </c>
      <c r="Q360">
        <v>201.6</v>
      </c>
      <c r="R360">
        <v>178.7</v>
      </c>
      <c r="S360">
        <v>165.3</v>
      </c>
      <c r="T360">
        <v>176.6</v>
      </c>
      <c r="U360" t="s">
        <v>161</v>
      </c>
      <c r="V360">
        <v>180.1</v>
      </c>
      <c r="W360">
        <v>168</v>
      </c>
      <c r="X360">
        <v>178.5</v>
      </c>
      <c r="Y360">
        <v>159.5</v>
      </c>
      <c r="Z360">
        <v>167.8</v>
      </c>
      <c r="AA360">
        <v>171.8</v>
      </c>
      <c r="AB360">
        <v>178.8</v>
      </c>
      <c r="AC360">
        <v>168.9</v>
      </c>
      <c r="AD360">
        <v>174.9</v>
      </c>
    </row>
    <row r="361" spans="1:30">
      <c r="A361" t="s">
        <v>35</v>
      </c>
      <c r="B361">
        <v>2023</v>
      </c>
      <c r="C361" t="s">
        <v>31</v>
      </c>
      <c r="D361">
        <v>173.8</v>
      </c>
      <c r="E361">
        <v>210.7</v>
      </c>
      <c r="F361">
        <v>194.5</v>
      </c>
      <c r="G361">
        <v>174.6</v>
      </c>
      <c r="H361">
        <v>187.2</v>
      </c>
      <c r="I361">
        <v>158.30000000000001</v>
      </c>
      <c r="J361">
        <v>153.9</v>
      </c>
      <c r="K361">
        <v>170.9</v>
      </c>
      <c r="L361">
        <v>121.1</v>
      </c>
      <c r="M361">
        <v>208.4</v>
      </c>
      <c r="N361">
        <v>171.4</v>
      </c>
      <c r="O361">
        <v>191.2</v>
      </c>
      <c r="P361">
        <v>176.7</v>
      </c>
      <c r="Q361">
        <v>198.2</v>
      </c>
      <c r="R361">
        <v>184.9</v>
      </c>
      <c r="S361">
        <v>177.6</v>
      </c>
      <c r="T361">
        <v>183.8</v>
      </c>
      <c r="U361" t="s">
        <v>161</v>
      </c>
      <c r="V361">
        <v>182</v>
      </c>
      <c r="W361">
        <v>172.9</v>
      </c>
      <c r="X361">
        <v>182.3</v>
      </c>
      <c r="Y361">
        <v>163.6</v>
      </c>
      <c r="Z361">
        <v>169.5</v>
      </c>
      <c r="AA361">
        <v>174.3</v>
      </c>
      <c r="AB361">
        <v>178.6</v>
      </c>
      <c r="AC361">
        <v>172.8</v>
      </c>
      <c r="AD361">
        <v>176.5</v>
      </c>
    </row>
    <row r="362" spans="1:30">
      <c r="A362" t="s">
        <v>30</v>
      </c>
      <c r="B362">
        <v>2023</v>
      </c>
      <c r="C362" t="s">
        <v>36</v>
      </c>
      <c r="D362">
        <v>174.2</v>
      </c>
      <c r="E362">
        <v>205.2</v>
      </c>
      <c r="F362">
        <v>173.9</v>
      </c>
      <c r="G362">
        <v>177</v>
      </c>
      <c r="H362">
        <v>183.4</v>
      </c>
      <c r="I362">
        <v>167.2</v>
      </c>
      <c r="J362">
        <v>140.9</v>
      </c>
      <c r="K362">
        <v>170.4</v>
      </c>
      <c r="L362">
        <v>119.1</v>
      </c>
      <c r="M362">
        <v>212.1</v>
      </c>
      <c r="N362">
        <v>177.6</v>
      </c>
      <c r="O362">
        <v>189.9</v>
      </c>
      <c r="P362">
        <v>174.8</v>
      </c>
      <c r="Q362">
        <v>198.3</v>
      </c>
      <c r="R362">
        <v>190</v>
      </c>
      <c r="S362">
        <v>187</v>
      </c>
      <c r="T362">
        <v>189.6</v>
      </c>
      <c r="U362" t="s">
        <v>32</v>
      </c>
      <c r="V362">
        <v>181.6</v>
      </c>
      <c r="W362">
        <v>178.6</v>
      </c>
      <c r="X362">
        <v>186.6</v>
      </c>
      <c r="Y362">
        <v>169</v>
      </c>
      <c r="Z362">
        <v>172.8</v>
      </c>
      <c r="AA362">
        <v>178.5</v>
      </c>
      <c r="AB362">
        <v>180.7</v>
      </c>
      <c r="AC362">
        <v>177.9</v>
      </c>
      <c r="AD362">
        <v>178</v>
      </c>
    </row>
    <row r="363" spans="1:30">
      <c r="A363" t="s">
        <v>33</v>
      </c>
      <c r="B363">
        <v>2023</v>
      </c>
      <c r="C363" t="s">
        <v>36</v>
      </c>
      <c r="D363">
        <v>174.7</v>
      </c>
      <c r="E363">
        <v>212.2</v>
      </c>
      <c r="F363">
        <v>177.2</v>
      </c>
      <c r="G363">
        <v>177.9</v>
      </c>
      <c r="H363">
        <v>172.2</v>
      </c>
      <c r="I363">
        <v>172.1</v>
      </c>
      <c r="J363">
        <v>175.8</v>
      </c>
      <c r="K363">
        <v>172.2</v>
      </c>
      <c r="L363">
        <v>121.9</v>
      </c>
      <c r="M363">
        <v>204.8</v>
      </c>
      <c r="N363">
        <v>164.9</v>
      </c>
      <c r="O363">
        <v>196.6</v>
      </c>
      <c r="P363">
        <v>180.7</v>
      </c>
      <c r="Q363">
        <v>202.7</v>
      </c>
      <c r="R363">
        <v>180.3</v>
      </c>
      <c r="S363">
        <v>167</v>
      </c>
      <c r="T363">
        <v>178.2</v>
      </c>
      <c r="U363" t="s">
        <v>162</v>
      </c>
      <c r="V363">
        <v>182.8</v>
      </c>
      <c r="W363">
        <v>169.2</v>
      </c>
      <c r="X363">
        <v>180.8</v>
      </c>
      <c r="Y363">
        <v>159.80000000000001</v>
      </c>
      <c r="Z363">
        <v>168.4</v>
      </c>
      <c r="AA363">
        <v>172.5</v>
      </c>
      <c r="AB363">
        <v>181.4</v>
      </c>
      <c r="AC363">
        <v>170</v>
      </c>
      <c r="AD363">
        <v>176.3</v>
      </c>
    </row>
    <row r="364" spans="1:30">
      <c r="A364" t="s">
        <v>35</v>
      </c>
      <c r="B364">
        <v>2023</v>
      </c>
      <c r="C364" t="s">
        <v>36</v>
      </c>
      <c r="D364">
        <v>174.4</v>
      </c>
      <c r="E364">
        <v>207.7</v>
      </c>
      <c r="F364">
        <v>175.2</v>
      </c>
      <c r="G364">
        <v>177.3</v>
      </c>
      <c r="H364">
        <v>179.3</v>
      </c>
      <c r="I364">
        <v>169.5</v>
      </c>
      <c r="J364">
        <v>152.69999999999999</v>
      </c>
      <c r="K364">
        <v>171</v>
      </c>
      <c r="L364">
        <v>120</v>
      </c>
      <c r="M364">
        <v>209.7</v>
      </c>
      <c r="N364">
        <v>172.3</v>
      </c>
      <c r="O364">
        <v>193</v>
      </c>
      <c r="P364">
        <v>177</v>
      </c>
      <c r="Q364">
        <v>199.5</v>
      </c>
      <c r="R364">
        <v>186.2</v>
      </c>
      <c r="S364">
        <v>178.7</v>
      </c>
      <c r="T364">
        <v>185.1</v>
      </c>
      <c r="U364" t="s">
        <v>162</v>
      </c>
      <c r="V364">
        <v>182.1</v>
      </c>
      <c r="W364">
        <v>174.2</v>
      </c>
      <c r="X364">
        <v>184.4</v>
      </c>
      <c r="Y364">
        <v>164.2</v>
      </c>
      <c r="Z364">
        <v>170.3</v>
      </c>
      <c r="AA364">
        <v>175</v>
      </c>
      <c r="AB364">
        <v>181</v>
      </c>
      <c r="AC364">
        <v>174.1</v>
      </c>
      <c r="AD364">
        <v>177.2</v>
      </c>
    </row>
    <row r="365" spans="1:30">
      <c r="A365" t="s">
        <v>30</v>
      </c>
      <c r="B365">
        <v>2023</v>
      </c>
      <c r="C365" t="s">
        <v>38</v>
      </c>
      <c r="D365">
        <v>174.3</v>
      </c>
      <c r="E365">
        <v>205.2</v>
      </c>
      <c r="F365">
        <v>173.9</v>
      </c>
      <c r="G365">
        <v>177</v>
      </c>
      <c r="H365">
        <v>183.3</v>
      </c>
      <c r="I365">
        <v>167.2</v>
      </c>
      <c r="J365">
        <v>140.9</v>
      </c>
      <c r="K365">
        <v>170.5</v>
      </c>
      <c r="L365">
        <v>119.1</v>
      </c>
      <c r="M365">
        <v>212.1</v>
      </c>
      <c r="N365">
        <v>177.6</v>
      </c>
      <c r="O365">
        <v>189.9</v>
      </c>
      <c r="P365">
        <v>174.8</v>
      </c>
      <c r="Q365">
        <v>198.4</v>
      </c>
      <c r="R365">
        <v>190</v>
      </c>
      <c r="S365">
        <v>187</v>
      </c>
      <c r="T365">
        <v>189.6</v>
      </c>
      <c r="U365" t="s">
        <v>32</v>
      </c>
      <c r="V365">
        <v>181.4</v>
      </c>
      <c r="W365">
        <v>178.6</v>
      </c>
      <c r="X365">
        <v>186.6</v>
      </c>
      <c r="Y365">
        <v>169</v>
      </c>
      <c r="Z365">
        <v>172.8</v>
      </c>
      <c r="AA365">
        <v>178.5</v>
      </c>
      <c r="AB365">
        <v>180.7</v>
      </c>
      <c r="AC365">
        <v>177.9</v>
      </c>
      <c r="AD365">
        <v>178</v>
      </c>
    </row>
    <row r="366" spans="1:30">
      <c r="A366" t="s">
        <v>33</v>
      </c>
      <c r="B366">
        <v>2023</v>
      </c>
      <c r="C366" t="s">
        <v>38</v>
      </c>
      <c r="D366">
        <v>174.7</v>
      </c>
      <c r="E366">
        <v>212.2</v>
      </c>
      <c r="F366">
        <v>177.2</v>
      </c>
      <c r="G366">
        <v>177.9</v>
      </c>
      <c r="H366">
        <v>172.2</v>
      </c>
      <c r="I366">
        <v>172.1</v>
      </c>
      <c r="J366">
        <v>175.9</v>
      </c>
      <c r="K366">
        <v>172.2</v>
      </c>
      <c r="L366">
        <v>121.9</v>
      </c>
      <c r="M366">
        <v>204.8</v>
      </c>
      <c r="N366">
        <v>164.9</v>
      </c>
      <c r="O366">
        <v>196.6</v>
      </c>
      <c r="P366">
        <v>180.8</v>
      </c>
      <c r="Q366">
        <v>202.7</v>
      </c>
      <c r="R366">
        <v>180.2</v>
      </c>
      <c r="S366">
        <v>167</v>
      </c>
      <c r="T366">
        <v>178.2</v>
      </c>
      <c r="U366" t="s">
        <v>162</v>
      </c>
      <c r="V366">
        <v>182.6</v>
      </c>
      <c r="W366">
        <v>169.2</v>
      </c>
      <c r="X366">
        <v>180.8</v>
      </c>
      <c r="Y366">
        <v>159.80000000000001</v>
      </c>
      <c r="Z366">
        <v>168.4</v>
      </c>
      <c r="AA366">
        <v>172.5</v>
      </c>
      <c r="AB366">
        <v>181.5</v>
      </c>
      <c r="AC366">
        <v>170</v>
      </c>
      <c r="AD366">
        <v>176.3</v>
      </c>
    </row>
    <row r="367" spans="1:30">
      <c r="A367" t="s">
        <v>35</v>
      </c>
      <c r="B367">
        <v>2023</v>
      </c>
      <c r="C367" t="s">
        <v>38</v>
      </c>
      <c r="D367">
        <v>174.4</v>
      </c>
      <c r="E367">
        <v>207.7</v>
      </c>
      <c r="F367">
        <v>175.2</v>
      </c>
      <c r="G367">
        <v>177.3</v>
      </c>
      <c r="H367">
        <v>179.2</v>
      </c>
      <c r="I367">
        <v>169.5</v>
      </c>
      <c r="J367">
        <v>152.80000000000001</v>
      </c>
      <c r="K367">
        <v>171.1</v>
      </c>
      <c r="L367">
        <v>120</v>
      </c>
      <c r="M367">
        <v>209.7</v>
      </c>
      <c r="N367">
        <v>172.3</v>
      </c>
      <c r="O367">
        <v>193</v>
      </c>
      <c r="P367">
        <v>177</v>
      </c>
      <c r="Q367">
        <v>199.5</v>
      </c>
      <c r="R367">
        <v>186.1</v>
      </c>
      <c r="S367">
        <v>178.7</v>
      </c>
      <c r="T367">
        <v>185.1</v>
      </c>
      <c r="U367" t="s">
        <v>162</v>
      </c>
      <c r="V367">
        <v>181.9</v>
      </c>
      <c r="W367">
        <v>174.2</v>
      </c>
      <c r="X367">
        <v>184.4</v>
      </c>
      <c r="Y367">
        <v>164.2</v>
      </c>
      <c r="Z367">
        <v>170.3</v>
      </c>
      <c r="AA367">
        <v>175</v>
      </c>
      <c r="AB367">
        <v>181</v>
      </c>
      <c r="AC367">
        <v>174.1</v>
      </c>
      <c r="AD367">
        <v>177.2</v>
      </c>
    </row>
    <row r="368" spans="1:30">
      <c r="A368" t="s">
        <v>30</v>
      </c>
      <c r="B368">
        <v>2023</v>
      </c>
      <c r="C368" t="s">
        <v>39</v>
      </c>
      <c r="D368">
        <v>173.3</v>
      </c>
      <c r="E368">
        <v>206.9</v>
      </c>
      <c r="F368">
        <v>167.9</v>
      </c>
      <c r="G368">
        <v>178.2</v>
      </c>
      <c r="H368">
        <v>178.5</v>
      </c>
      <c r="I368">
        <v>173.7</v>
      </c>
      <c r="J368">
        <v>142.80000000000001</v>
      </c>
      <c r="K368">
        <v>172.8</v>
      </c>
      <c r="L368">
        <v>120.4</v>
      </c>
      <c r="M368">
        <v>215.5</v>
      </c>
      <c r="N368">
        <v>178.2</v>
      </c>
      <c r="O368">
        <v>190.5</v>
      </c>
      <c r="P368">
        <v>175.5</v>
      </c>
      <c r="Q368">
        <v>199.5</v>
      </c>
      <c r="R368">
        <v>190.7</v>
      </c>
      <c r="S368">
        <v>187.3</v>
      </c>
      <c r="T368">
        <v>190.2</v>
      </c>
      <c r="U368" t="s">
        <v>139</v>
      </c>
      <c r="V368">
        <v>181.5</v>
      </c>
      <c r="W368">
        <v>179.1</v>
      </c>
      <c r="X368">
        <v>187.2</v>
      </c>
      <c r="Y368">
        <v>169.4</v>
      </c>
      <c r="Z368">
        <v>173.2</v>
      </c>
      <c r="AA368">
        <v>179.4</v>
      </c>
      <c r="AB368">
        <v>183.8</v>
      </c>
      <c r="AC368">
        <v>178.9</v>
      </c>
      <c r="AD368">
        <v>178.8</v>
      </c>
    </row>
    <row r="369" spans="1:30">
      <c r="A369" t="s">
        <v>33</v>
      </c>
      <c r="B369">
        <v>2023</v>
      </c>
      <c r="C369" t="s">
        <v>39</v>
      </c>
      <c r="D369">
        <v>174.8</v>
      </c>
      <c r="E369">
        <v>213.7</v>
      </c>
      <c r="F369">
        <v>172.4</v>
      </c>
      <c r="G369">
        <v>178.8</v>
      </c>
      <c r="H369">
        <v>168.7</v>
      </c>
      <c r="I369">
        <v>179.2</v>
      </c>
      <c r="J369">
        <v>179.9</v>
      </c>
      <c r="K369">
        <v>174.7</v>
      </c>
      <c r="L369">
        <v>123.1</v>
      </c>
      <c r="M369">
        <v>207.8</v>
      </c>
      <c r="N369">
        <v>165.5</v>
      </c>
      <c r="O369">
        <v>197</v>
      </c>
      <c r="P369">
        <v>182.1</v>
      </c>
      <c r="Q369">
        <v>203.5</v>
      </c>
      <c r="R369">
        <v>181</v>
      </c>
      <c r="S369">
        <v>167.7</v>
      </c>
      <c r="T369">
        <v>178.9</v>
      </c>
      <c r="U369" t="s">
        <v>163</v>
      </c>
      <c r="V369">
        <v>182.1</v>
      </c>
      <c r="W369">
        <v>169.6</v>
      </c>
      <c r="X369">
        <v>181.5</v>
      </c>
      <c r="Y369">
        <v>160.1</v>
      </c>
      <c r="Z369">
        <v>168.8</v>
      </c>
      <c r="AA369">
        <v>174.2</v>
      </c>
      <c r="AB369">
        <v>184.4</v>
      </c>
      <c r="AC369">
        <v>170.9</v>
      </c>
      <c r="AD369">
        <v>177.4</v>
      </c>
    </row>
    <row r="370" spans="1:30">
      <c r="A370" t="s">
        <v>35</v>
      </c>
      <c r="B370">
        <v>2023</v>
      </c>
      <c r="C370" t="s">
        <v>39</v>
      </c>
      <c r="D370">
        <v>173.8</v>
      </c>
      <c r="E370">
        <v>209.3</v>
      </c>
      <c r="F370">
        <v>169.6</v>
      </c>
      <c r="G370">
        <v>178.4</v>
      </c>
      <c r="H370">
        <v>174.9</v>
      </c>
      <c r="I370">
        <v>176.3</v>
      </c>
      <c r="J370">
        <v>155.4</v>
      </c>
      <c r="K370">
        <v>173.4</v>
      </c>
      <c r="L370">
        <v>121.3</v>
      </c>
      <c r="M370">
        <v>212.9</v>
      </c>
      <c r="N370">
        <v>172.9</v>
      </c>
      <c r="O370">
        <v>193.5</v>
      </c>
      <c r="P370">
        <v>177.9</v>
      </c>
      <c r="Q370">
        <v>200.6</v>
      </c>
      <c r="R370">
        <v>186.9</v>
      </c>
      <c r="S370">
        <v>179.2</v>
      </c>
      <c r="T370">
        <v>185.7</v>
      </c>
      <c r="U370" t="s">
        <v>163</v>
      </c>
      <c r="V370">
        <v>181.7</v>
      </c>
      <c r="W370">
        <v>174.6</v>
      </c>
      <c r="X370">
        <v>185</v>
      </c>
      <c r="Y370">
        <v>164.5</v>
      </c>
      <c r="Z370">
        <v>170.7</v>
      </c>
      <c r="AA370">
        <v>176.4</v>
      </c>
      <c r="AB370">
        <v>184</v>
      </c>
      <c r="AC370">
        <v>175</v>
      </c>
      <c r="AD370">
        <v>178.1</v>
      </c>
    </row>
    <row r="371" spans="1:30">
      <c r="A371" t="s">
        <v>30</v>
      </c>
      <c r="B371">
        <v>2023</v>
      </c>
      <c r="C371" t="s">
        <v>41</v>
      </c>
      <c r="D371">
        <v>173.2</v>
      </c>
      <c r="E371">
        <v>211.5</v>
      </c>
      <c r="F371">
        <v>171</v>
      </c>
      <c r="G371">
        <v>179.6</v>
      </c>
      <c r="H371">
        <v>173.3</v>
      </c>
      <c r="I371">
        <v>169</v>
      </c>
      <c r="J371">
        <v>148.69999999999999</v>
      </c>
      <c r="K371">
        <v>174.9</v>
      </c>
      <c r="L371">
        <v>121.9</v>
      </c>
      <c r="M371">
        <v>221</v>
      </c>
      <c r="N371">
        <v>178.7</v>
      </c>
      <c r="O371">
        <v>191.1</v>
      </c>
      <c r="P371">
        <v>176.8</v>
      </c>
      <c r="Q371">
        <v>199.9</v>
      </c>
      <c r="R371">
        <v>191.2</v>
      </c>
      <c r="S371">
        <v>187.9</v>
      </c>
      <c r="T371">
        <v>190.8</v>
      </c>
      <c r="U371" t="s">
        <v>139</v>
      </c>
      <c r="V371">
        <v>182.5</v>
      </c>
      <c r="W371">
        <v>179.8</v>
      </c>
      <c r="X371">
        <v>187.8</v>
      </c>
      <c r="Y371">
        <v>169.7</v>
      </c>
      <c r="Z371">
        <v>173.8</v>
      </c>
      <c r="AA371">
        <v>180.3</v>
      </c>
      <c r="AB371">
        <v>184.9</v>
      </c>
      <c r="AC371">
        <v>179.5</v>
      </c>
      <c r="AD371">
        <v>179.8</v>
      </c>
    </row>
    <row r="372" spans="1:30">
      <c r="A372" t="s">
        <v>33</v>
      </c>
      <c r="B372">
        <v>2023</v>
      </c>
      <c r="C372" t="s">
        <v>41</v>
      </c>
      <c r="D372">
        <v>174.7</v>
      </c>
      <c r="E372">
        <v>219.4</v>
      </c>
      <c r="F372">
        <v>176.7</v>
      </c>
      <c r="G372">
        <v>179.4</v>
      </c>
      <c r="H372">
        <v>164.4</v>
      </c>
      <c r="I372">
        <v>175.8</v>
      </c>
      <c r="J372">
        <v>185</v>
      </c>
      <c r="K372">
        <v>176.9</v>
      </c>
      <c r="L372">
        <v>124.2</v>
      </c>
      <c r="M372">
        <v>211.9</v>
      </c>
      <c r="N372">
        <v>165.9</v>
      </c>
      <c r="O372">
        <v>197.7</v>
      </c>
      <c r="P372">
        <v>183.1</v>
      </c>
      <c r="Q372">
        <v>204.2</v>
      </c>
      <c r="R372">
        <v>181.3</v>
      </c>
      <c r="S372">
        <v>168.1</v>
      </c>
      <c r="T372">
        <v>179.3</v>
      </c>
      <c r="U372" t="s">
        <v>164</v>
      </c>
      <c r="V372">
        <v>183.4</v>
      </c>
      <c r="W372">
        <v>170.1</v>
      </c>
      <c r="X372">
        <v>182.2</v>
      </c>
      <c r="Y372">
        <v>160.4</v>
      </c>
      <c r="Z372">
        <v>169.2</v>
      </c>
      <c r="AA372">
        <v>174.8</v>
      </c>
      <c r="AB372">
        <v>185.6</v>
      </c>
      <c r="AC372">
        <v>171.6</v>
      </c>
      <c r="AD372">
        <v>178.2</v>
      </c>
    </row>
    <row r="373" spans="1:30">
      <c r="A373" t="s">
        <v>35</v>
      </c>
      <c r="B373">
        <v>2023</v>
      </c>
      <c r="C373" t="s">
        <v>41</v>
      </c>
      <c r="D373">
        <v>173.7</v>
      </c>
      <c r="E373">
        <v>214.3</v>
      </c>
      <c r="F373">
        <v>173.2</v>
      </c>
      <c r="G373">
        <v>179.5</v>
      </c>
      <c r="H373">
        <v>170</v>
      </c>
      <c r="I373">
        <v>172.2</v>
      </c>
      <c r="J373">
        <v>161</v>
      </c>
      <c r="K373">
        <v>175.6</v>
      </c>
      <c r="L373">
        <v>122.7</v>
      </c>
      <c r="M373">
        <v>218</v>
      </c>
      <c r="N373">
        <v>173.4</v>
      </c>
      <c r="O373">
        <v>194.2</v>
      </c>
      <c r="P373">
        <v>179.1</v>
      </c>
      <c r="Q373">
        <v>201</v>
      </c>
      <c r="R373">
        <v>187.3</v>
      </c>
      <c r="S373">
        <v>179.7</v>
      </c>
      <c r="T373">
        <v>186.2</v>
      </c>
      <c r="U373" t="s">
        <v>164</v>
      </c>
      <c r="V373">
        <v>182.8</v>
      </c>
      <c r="W373">
        <v>175.2</v>
      </c>
      <c r="X373">
        <v>185.7</v>
      </c>
      <c r="Y373">
        <v>164.8</v>
      </c>
      <c r="Z373">
        <v>171.2</v>
      </c>
      <c r="AA373">
        <v>177.1</v>
      </c>
      <c r="AB373">
        <v>185.2</v>
      </c>
      <c r="AC373">
        <v>175.7</v>
      </c>
      <c r="AD373">
        <v>179.1</v>
      </c>
    </row>
  </sheetData>
  <autoFilter ref="A1:AD373" xr:uid="{2FC3498B-5BB7-4329-BF12-AC80C7B794B1}"/>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51D011-5B3A-4905-92A5-19B1123AC5C2}">
  <dimension ref="A1:B24"/>
  <sheetViews>
    <sheetView workbookViewId="0">
      <selection activeCell="C12" sqref="C12"/>
    </sheetView>
  </sheetViews>
  <sheetFormatPr defaultRowHeight="14.6"/>
  <cols>
    <col min="1" max="1" width="32.23046875" customWidth="1"/>
    <col min="2" max="2" width="23.3046875" customWidth="1"/>
  </cols>
  <sheetData>
    <row r="1" spans="1:2" ht="15" thickBot="1">
      <c r="A1" s="8" t="s">
        <v>176</v>
      </c>
      <c r="B1" s="9" t="s">
        <v>180</v>
      </c>
    </row>
    <row r="2" spans="1:2">
      <c r="A2" s="4" t="s">
        <v>3</v>
      </c>
      <c r="B2" s="5" t="s">
        <v>165</v>
      </c>
    </row>
    <row r="3" spans="1:2">
      <c r="A3" s="4" t="s">
        <v>4</v>
      </c>
      <c r="B3" s="5" t="s">
        <v>165</v>
      </c>
    </row>
    <row r="4" spans="1:2">
      <c r="A4" s="4" t="s">
        <v>5</v>
      </c>
      <c r="B4" s="5" t="s">
        <v>165</v>
      </c>
    </row>
    <row r="5" spans="1:2">
      <c r="A5" s="4" t="s">
        <v>6</v>
      </c>
      <c r="B5" s="5" t="s">
        <v>165</v>
      </c>
    </row>
    <row r="6" spans="1:2">
      <c r="A6" s="4" t="s">
        <v>7</v>
      </c>
      <c r="B6" s="5" t="s">
        <v>165</v>
      </c>
    </row>
    <row r="7" spans="1:2">
      <c r="A7" s="4" t="s">
        <v>8</v>
      </c>
      <c r="B7" s="5" t="s">
        <v>165</v>
      </c>
    </row>
    <row r="8" spans="1:2">
      <c r="A8" s="4" t="s">
        <v>9</v>
      </c>
      <c r="B8" s="5" t="s">
        <v>165</v>
      </c>
    </row>
    <row r="9" spans="1:2">
      <c r="A9" s="4" t="s">
        <v>10</v>
      </c>
      <c r="B9" s="5" t="s">
        <v>165</v>
      </c>
    </row>
    <row r="10" spans="1:2">
      <c r="A10" s="4" t="s">
        <v>11</v>
      </c>
      <c r="B10" s="5" t="s">
        <v>165</v>
      </c>
    </row>
    <row r="11" spans="1:2">
      <c r="A11" s="4" t="s">
        <v>12</v>
      </c>
      <c r="B11" s="5" t="s">
        <v>165</v>
      </c>
    </row>
    <row r="12" spans="1:2">
      <c r="A12" s="4" t="s">
        <v>13</v>
      </c>
      <c r="B12" s="5" t="s">
        <v>165</v>
      </c>
    </row>
    <row r="13" spans="1:2">
      <c r="A13" s="4" t="s">
        <v>14</v>
      </c>
      <c r="B13" s="5" t="s">
        <v>165</v>
      </c>
    </row>
    <row r="14" spans="1:2">
      <c r="A14" s="4" t="s">
        <v>16</v>
      </c>
      <c r="B14" s="5" t="s">
        <v>166</v>
      </c>
    </row>
    <row r="15" spans="1:2">
      <c r="A15" s="4" t="s">
        <v>17</v>
      </c>
      <c r="B15" s="5" t="s">
        <v>167</v>
      </c>
    </row>
    <row r="16" spans="1:2">
      <c r="A16" s="4" t="s">
        <v>18</v>
      </c>
      <c r="B16" s="5" t="s">
        <v>167</v>
      </c>
    </row>
    <row r="17" spans="1:2">
      <c r="A17" s="4" t="s">
        <v>20</v>
      </c>
      <c r="B17" s="5" t="s">
        <v>168</v>
      </c>
    </row>
    <row r="18" spans="1:2">
      <c r="A18" s="4" t="s">
        <v>21</v>
      </c>
      <c r="B18" s="5" t="s">
        <v>170</v>
      </c>
    </row>
    <row r="19" spans="1:2">
      <c r="A19" s="4" t="s">
        <v>22</v>
      </c>
      <c r="B19" s="5" t="s">
        <v>171</v>
      </c>
    </row>
    <row r="20" spans="1:2">
      <c r="A20" s="4" t="s">
        <v>23</v>
      </c>
      <c r="B20" s="5" t="s">
        <v>172</v>
      </c>
    </row>
    <row r="21" spans="1:2">
      <c r="A21" s="4" t="s">
        <v>24</v>
      </c>
      <c r="B21" s="5" t="s">
        <v>173</v>
      </c>
    </row>
    <row r="22" spans="1:2">
      <c r="A22" s="4" t="s">
        <v>25</v>
      </c>
      <c r="B22" s="5" t="s">
        <v>174</v>
      </c>
    </row>
    <row r="23" spans="1:2">
      <c r="A23" s="4" t="s">
        <v>26</v>
      </c>
      <c r="B23" s="5" t="s">
        <v>169</v>
      </c>
    </row>
    <row r="24" spans="1:2" ht="15" thickBot="1">
      <c r="A24" s="6" t="s">
        <v>27</v>
      </c>
      <c r="B24" s="7" t="s">
        <v>175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C9293E-A83A-45CF-BC40-740308E5C0EA}">
  <dimension ref="A1:E24"/>
  <sheetViews>
    <sheetView workbookViewId="0">
      <selection activeCell="H5" sqref="H5"/>
    </sheetView>
  </sheetViews>
  <sheetFormatPr defaultRowHeight="14.6"/>
  <cols>
    <col min="1" max="1" width="31.3046875" bestFit="1" customWidth="1"/>
    <col min="2" max="2" width="10.3046875" customWidth="1"/>
    <col min="3" max="3" width="10.84375" customWidth="1"/>
    <col min="4" max="4" width="13.23046875" customWidth="1"/>
    <col min="5" max="5" width="38.15234375" customWidth="1"/>
  </cols>
  <sheetData>
    <row r="1" spans="1:5" ht="15" thickBot="1">
      <c r="A1" s="8" t="s">
        <v>176</v>
      </c>
      <c r="B1" s="10" t="s">
        <v>177</v>
      </c>
      <c r="C1" s="10" t="s">
        <v>178</v>
      </c>
      <c r="D1" s="10" t="s">
        <v>179</v>
      </c>
      <c r="E1" s="9" t="s">
        <v>180</v>
      </c>
    </row>
    <row r="2" spans="1:5">
      <c r="A2" s="4" t="s">
        <v>3</v>
      </c>
      <c r="B2">
        <v>173.2</v>
      </c>
      <c r="C2">
        <v>174.7</v>
      </c>
      <c r="D2">
        <v>173.7</v>
      </c>
      <c r="E2" s="5" t="str">
        <f>VLOOKUP(A2,category!$A$2:$B$24,2,0)</f>
        <v>food</v>
      </c>
    </row>
    <row r="3" spans="1:5">
      <c r="A3" s="4" t="s">
        <v>4</v>
      </c>
      <c r="B3">
        <v>211.5</v>
      </c>
      <c r="C3">
        <v>219.4</v>
      </c>
      <c r="D3">
        <v>214.3</v>
      </c>
      <c r="E3" s="5" t="str">
        <f>VLOOKUP(A3,category!$A$2:$B$24,2,0)</f>
        <v>food</v>
      </c>
    </row>
    <row r="4" spans="1:5">
      <c r="A4" s="4" t="s">
        <v>5</v>
      </c>
      <c r="B4">
        <v>171</v>
      </c>
      <c r="C4">
        <v>176.7</v>
      </c>
      <c r="D4">
        <v>173.2</v>
      </c>
      <c r="E4" s="5" t="str">
        <f>VLOOKUP(A4,category!$A$2:$B$24,2,0)</f>
        <v>food</v>
      </c>
    </row>
    <row r="5" spans="1:5">
      <c r="A5" s="4" t="s">
        <v>6</v>
      </c>
      <c r="B5">
        <v>179.6</v>
      </c>
      <c r="C5">
        <v>179.4</v>
      </c>
      <c r="D5">
        <v>179.5</v>
      </c>
      <c r="E5" s="5" t="str">
        <f>VLOOKUP(A5,category!$A$2:$B$24,2,0)</f>
        <v>food</v>
      </c>
    </row>
    <row r="6" spans="1:5">
      <c r="A6" s="4" t="s">
        <v>7</v>
      </c>
      <c r="B6">
        <v>173.3</v>
      </c>
      <c r="C6">
        <v>164.4</v>
      </c>
      <c r="D6">
        <v>170</v>
      </c>
      <c r="E6" s="5" t="str">
        <f>VLOOKUP(A6,category!$A$2:$B$24,2,0)</f>
        <v>food</v>
      </c>
    </row>
    <row r="7" spans="1:5">
      <c r="A7" s="4" t="s">
        <v>8</v>
      </c>
      <c r="B7">
        <v>169</v>
      </c>
      <c r="C7">
        <v>175.8</v>
      </c>
      <c r="D7">
        <v>172.2</v>
      </c>
      <c r="E7" s="5" t="str">
        <f>VLOOKUP(A7,category!$A$2:$B$24,2,0)</f>
        <v>food</v>
      </c>
    </row>
    <row r="8" spans="1:5">
      <c r="A8" s="4" t="s">
        <v>9</v>
      </c>
      <c r="B8">
        <v>148.69999999999999</v>
      </c>
      <c r="C8">
        <v>185</v>
      </c>
      <c r="D8">
        <v>161</v>
      </c>
      <c r="E8" s="5" t="str">
        <f>VLOOKUP(A8,category!$A$2:$B$24,2,0)</f>
        <v>food</v>
      </c>
    </row>
    <row r="9" spans="1:5">
      <c r="A9" s="4" t="s">
        <v>10</v>
      </c>
      <c r="B9">
        <v>174.9</v>
      </c>
      <c r="C9">
        <v>176.9</v>
      </c>
      <c r="D9">
        <v>175.6</v>
      </c>
      <c r="E9" s="5" t="str">
        <f>VLOOKUP(A9,category!$A$2:$B$24,2,0)</f>
        <v>food</v>
      </c>
    </row>
    <row r="10" spans="1:5">
      <c r="A10" s="4" t="s">
        <v>11</v>
      </c>
      <c r="B10">
        <v>121.9</v>
      </c>
      <c r="C10">
        <v>124.2</v>
      </c>
      <c r="D10">
        <v>122.7</v>
      </c>
      <c r="E10" s="5" t="str">
        <f>VLOOKUP(A10,category!$A$2:$B$24,2,0)</f>
        <v>food</v>
      </c>
    </row>
    <row r="11" spans="1:5">
      <c r="A11" s="4" t="s">
        <v>12</v>
      </c>
      <c r="B11">
        <v>221</v>
      </c>
      <c r="C11">
        <v>211.9</v>
      </c>
      <c r="D11">
        <v>218</v>
      </c>
      <c r="E11" s="5" t="str">
        <f>VLOOKUP(A11,category!$A$2:$B$24,2,0)</f>
        <v>food</v>
      </c>
    </row>
    <row r="12" spans="1:5">
      <c r="A12" s="4" t="s">
        <v>13</v>
      </c>
      <c r="B12">
        <v>178.7</v>
      </c>
      <c r="C12">
        <v>165.9</v>
      </c>
      <c r="D12">
        <v>173.4</v>
      </c>
      <c r="E12" s="5" t="str">
        <f>VLOOKUP(A12,category!$A$2:$B$24,2,0)</f>
        <v>food</v>
      </c>
    </row>
    <row r="13" spans="1:5">
      <c r="A13" s="4" t="s">
        <v>14</v>
      </c>
      <c r="B13">
        <v>191.1</v>
      </c>
      <c r="C13">
        <v>197.7</v>
      </c>
      <c r="D13">
        <v>194.2</v>
      </c>
      <c r="E13" s="5" t="str">
        <f>VLOOKUP(A13,category!$A$2:$B$24,2,0)</f>
        <v>food</v>
      </c>
    </row>
    <row r="14" spans="1:5">
      <c r="A14" s="4" t="s">
        <v>16</v>
      </c>
      <c r="B14">
        <v>199.9</v>
      </c>
      <c r="C14">
        <v>204.2</v>
      </c>
      <c r="D14">
        <v>201</v>
      </c>
      <c r="E14" s="5" t="str">
        <f>VLOOKUP(A14,category!$A$2:$B$24,2,0)</f>
        <v>tabacco &amp; intoxicants</v>
      </c>
    </row>
    <row r="15" spans="1:5">
      <c r="A15" s="4" t="s">
        <v>17</v>
      </c>
      <c r="B15">
        <v>191.2</v>
      </c>
      <c r="C15">
        <v>181.3</v>
      </c>
      <c r="D15">
        <v>187.3</v>
      </c>
      <c r="E15" s="5" t="str">
        <f>VLOOKUP(A15,category!$A$2:$B$24,2,0)</f>
        <v>clothing</v>
      </c>
    </row>
    <row r="16" spans="1:5">
      <c r="A16" s="4" t="s">
        <v>18</v>
      </c>
      <c r="B16">
        <v>187.9</v>
      </c>
      <c r="C16">
        <v>168.1</v>
      </c>
      <c r="D16">
        <v>179.7</v>
      </c>
      <c r="E16" s="5" t="str">
        <f>VLOOKUP(A16,category!$A$2:$B$24,2,0)</f>
        <v>clothing</v>
      </c>
    </row>
    <row r="17" spans="1:5">
      <c r="A17" s="4" t="s">
        <v>20</v>
      </c>
      <c r="B17" t="s">
        <v>139</v>
      </c>
      <c r="C17">
        <v>175.6</v>
      </c>
      <c r="D17">
        <v>175.6</v>
      </c>
      <c r="E17" s="5" t="str">
        <f>VLOOKUP(A17,category!$A$2:$B$24,2,0)</f>
        <v>housing</v>
      </c>
    </row>
    <row r="18" spans="1:5">
      <c r="A18" s="4" t="s">
        <v>21</v>
      </c>
      <c r="B18">
        <v>182.5</v>
      </c>
      <c r="C18">
        <v>183.4</v>
      </c>
      <c r="D18">
        <v>182.8</v>
      </c>
      <c r="E18" s="5" t="str">
        <f>VLOOKUP(A18,category!$A$2:$B$24,2,0)</f>
        <v>energy</v>
      </c>
    </row>
    <row r="19" spans="1:5">
      <c r="A19" s="4" t="s">
        <v>22</v>
      </c>
      <c r="B19">
        <v>179.8</v>
      </c>
      <c r="C19">
        <v>170.1</v>
      </c>
      <c r="D19">
        <v>175.2</v>
      </c>
      <c r="E19" s="5" t="str">
        <f>VLOOKUP(A19,category!$A$2:$B$24,2,0)</f>
        <v xml:space="preserve">household </v>
      </c>
    </row>
    <row r="20" spans="1:5">
      <c r="A20" s="4" t="s">
        <v>23</v>
      </c>
      <c r="B20">
        <v>187.8</v>
      </c>
      <c r="C20">
        <v>182.2</v>
      </c>
      <c r="D20">
        <v>185.7</v>
      </c>
      <c r="E20" s="5" t="str">
        <f>VLOOKUP(A20,category!$A$2:$B$24,2,0)</f>
        <v>healthcare</v>
      </c>
    </row>
    <row r="21" spans="1:5">
      <c r="A21" s="4" t="s">
        <v>24</v>
      </c>
      <c r="B21">
        <v>169.7</v>
      </c>
      <c r="C21">
        <v>160.4</v>
      </c>
      <c r="D21">
        <v>164.8</v>
      </c>
      <c r="E21" s="5" t="str">
        <f>VLOOKUP(A21,category!$A$2:$B$24,2,0)</f>
        <v>transport</v>
      </c>
    </row>
    <row r="22" spans="1:5">
      <c r="A22" s="4" t="s">
        <v>25</v>
      </c>
      <c r="B22">
        <v>173.8</v>
      </c>
      <c r="C22">
        <v>169.2</v>
      </c>
      <c r="D22">
        <v>171.2</v>
      </c>
      <c r="E22" s="5" t="str">
        <f>VLOOKUP(A22,category!$A$2:$B$24,2,0)</f>
        <v>recreation</v>
      </c>
    </row>
    <row r="23" spans="1:5">
      <c r="A23" s="4" t="s">
        <v>26</v>
      </c>
      <c r="B23">
        <v>180.3</v>
      </c>
      <c r="C23">
        <v>174.8</v>
      </c>
      <c r="D23">
        <v>177.1</v>
      </c>
      <c r="E23" s="5" t="str">
        <f>VLOOKUP(A23,category!$A$2:$B$24,2,0)</f>
        <v>education</v>
      </c>
    </row>
    <row r="24" spans="1:5" ht="15" thickBot="1">
      <c r="A24" s="6" t="s">
        <v>27</v>
      </c>
      <c r="B24" s="11">
        <v>184.9</v>
      </c>
      <c r="C24" s="11">
        <v>185.6</v>
      </c>
      <c r="D24" s="11">
        <v>185.2</v>
      </c>
      <c r="E24" s="7" t="str">
        <f>VLOOKUP(A24,category!$A$2:$B$24,2,0)</f>
        <v>personal care</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56D5E2-4CAF-44A7-8135-E695488486E9}">
  <dimension ref="A1:O24"/>
  <sheetViews>
    <sheetView zoomScale="85" zoomScaleNormal="85" workbookViewId="0">
      <selection activeCell="N19" sqref="N19"/>
    </sheetView>
  </sheetViews>
  <sheetFormatPr defaultRowHeight="14.6"/>
  <cols>
    <col min="1" max="1" width="32.765625" customWidth="1"/>
    <col min="2" max="2" width="21.53515625" customWidth="1"/>
    <col min="3" max="3" width="8.23046875" customWidth="1"/>
    <col min="4" max="4" width="18.84375" bestFit="1" customWidth="1"/>
    <col min="5" max="5" width="15" bestFit="1" customWidth="1"/>
    <col min="6" max="6" width="8.15234375" customWidth="1"/>
    <col min="8" max="8" width="3.84375" customWidth="1"/>
    <col min="14" max="14" width="11.765625" customWidth="1"/>
    <col min="15" max="15" width="12" customWidth="1"/>
  </cols>
  <sheetData>
    <row r="1" spans="1:15" ht="15" thickBot="1">
      <c r="A1" s="8" t="s">
        <v>278</v>
      </c>
      <c r="B1" s="37" t="s">
        <v>277</v>
      </c>
    </row>
    <row r="2" spans="1:15" ht="15" thickBot="1">
      <c r="A2" s="4" t="s">
        <v>3</v>
      </c>
      <c r="B2" s="16" t="s">
        <v>165</v>
      </c>
      <c r="E2" s="72" t="s">
        <v>279</v>
      </c>
      <c r="F2" s="73"/>
      <c r="G2" s="73"/>
      <c r="H2" s="74"/>
    </row>
    <row r="3" spans="1:15" ht="15" thickBot="1">
      <c r="A3" s="4" t="s">
        <v>4</v>
      </c>
      <c r="B3" s="16" t="s">
        <v>165</v>
      </c>
      <c r="E3" s="75"/>
      <c r="F3" s="76"/>
      <c r="G3" s="76"/>
      <c r="H3" s="77"/>
      <c r="K3" s="81" t="s">
        <v>281</v>
      </c>
      <c r="L3" s="82"/>
      <c r="M3" s="82"/>
      <c r="N3" s="82"/>
      <c r="O3" s="83"/>
    </row>
    <row r="4" spans="1:15" ht="15" thickBot="1">
      <c r="A4" s="4" t="s">
        <v>5</v>
      </c>
      <c r="B4" s="16" t="s">
        <v>165</v>
      </c>
      <c r="K4" s="87" t="s">
        <v>282</v>
      </c>
      <c r="L4" s="88"/>
      <c r="M4" s="88"/>
      <c r="N4" s="88"/>
      <c r="O4" s="89"/>
    </row>
    <row r="5" spans="1:15" ht="15" thickBot="1">
      <c r="A5" s="4" t="s">
        <v>6</v>
      </c>
      <c r="B5" s="16" t="s">
        <v>165</v>
      </c>
      <c r="E5" s="78" t="s">
        <v>276</v>
      </c>
      <c r="F5" s="79"/>
      <c r="G5" s="79"/>
      <c r="H5" s="80"/>
      <c r="K5" s="84" t="s">
        <v>283</v>
      </c>
      <c r="L5" s="85"/>
      <c r="M5" s="85"/>
      <c r="N5" s="85"/>
      <c r="O5" s="86"/>
    </row>
    <row r="6" spans="1:15">
      <c r="A6" s="4" t="s">
        <v>7</v>
      </c>
      <c r="B6" s="16" t="s">
        <v>165</v>
      </c>
    </row>
    <row r="7" spans="1:15">
      <c r="A7" s="4" t="s">
        <v>8</v>
      </c>
      <c r="B7" s="16" t="s">
        <v>165</v>
      </c>
    </row>
    <row r="8" spans="1:15">
      <c r="A8" s="4" t="s">
        <v>9</v>
      </c>
      <c r="B8" s="16" t="s">
        <v>165</v>
      </c>
      <c r="D8" s="2" t="s">
        <v>284</v>
      </c>
      <c r="E8" t="s">
        <v>280</v>
      </c>
    </row>
    <row r="9" spans="1:15">
      <c r="A9" s="4" t="s">
        <v>10</v>
      </c>
      <c r="B9" s="16" t="s">
        <v>165</v>
      </c>
      <c r="D9" s="3" t="s">
        <v>167</v>
      </c>
      <c r="E9" s="12">
        <v>8.9220596100549429E-2</v>
      </c>
    </row>
    <row r="10" spans="1:15" ht="19.850000000000001" customHeight="1">
      <c r="A10" s="4" t="s">
        <v>11</v>
      </c>
      <c r="B10" s="16" t="s">
        <v>165</v>
      </c>
      <c r="D10" s="3" t="s">
        <v>169</v>
      </c>
      <c r="E10" s="12">
        <v>4.305440754606895E-2</v>
      </c>
    </row>
    <row r="11" spans="1:15">
      <c r="A11" s="4" t="s">
        <v>12</v>
      </c>
      <c r="B11" s="16" t="s">
        <v>165</v>
      </c>
      <c r="D11" s="3" t="s">
        <v>170</v>
      </c>
      <c r="E11" s="12">
        <v>4.4440122526377211E-2</v>
      </c>
    </row>
    <row r="12" spans="1:15">
      <c r="A12" s="4" t="s">
        <v>13</v>
      </c>
      <c r="B12" s="16" t="s">
        <v>165</v>
      </c>
      <c r="D12" s="13" t="s">
        <v>165</v>
      </c>
      <c r="E12" s="14">
        <v>0.51728497107016103</v>
      </c>
    </row>
    <row r="13" spans="1:15">
      <c r="A13" s="4" t="s">
        <v>14</v>
      </c>
      <c r="B13" s="16" t="s">
        <v>165</v>
      </c>
      <c r="D13" s="3" t="s">
        <v>172</v>
      </c>
      <c r="E13" s="12">
        <v>4.5145135411095445E-2</v>
      </c>
    </row>
    <row r="14" spans="1:15">
      <c r="A14" s="4" t="s">
        <v>16</v>
      </c>
      <c r="B14" s="16" t="s">
        <v>166</v>
      </c>
      <c r="D14" s="3" t="s">
        <v>171</v>
      </c>
      <c r="E14" s="12">
        <v>4.259250255263286E-2</v>
      </c>
    </row>
    <row r="15" spans="1:15">
      <c r="A15" s="4" t="s">
        <v>17</v>
      </c>
      <c r="B15" s="16" t="s">
        <v>167</v>
      </c>
      <c r="D15" s="3" t="s">
        <v>168</v>
      </c>
      <c r="E15" s="12">
        <v>4.2689745709145722E-2</v>
      </c>
    </row>
    <row r="16" spans="1:15">
      <c r="A16" s="4" t="s">
        <v>18</v>
      </c>
      <c r="B16" s="16" t="s">
        <v>167</v>
      </c>
      <c r="D16" s="3" t="s">
        <v>175</v>
      </c>
      <c r="E16" s="12">
        <v>4.502358146545437E-2</v>
      </c>
    </row>
    <row r="17" spans="1:5">
      <c r="A17" s="4" t="s">
        <v>20</v>
      </c>
      <c r="B17" s="16" t="s">
        <v>168</v>
      </c>
      <c r="D17" s="3" t="s">
        <v>174</v>
      </c>
      <c r="E17" s="12">
        <v>4.1620070987504254E-2</v>
      </c>
    </row>
    <row r="18" spans="1:5">
      <c r="A18" s="4" t="s">
        <v>21</v>
      </c>
      <c r="B18" s="16" t="s">
        <v>170</v>
      </c>
      <c r="D18" s="3" t="s">
        <v>166</v>
      </c>
      <c r="E18" s="12">
        <v>4.8864686147712361E-2</v>
      </c>
    </row>
    <row r="19" spans="1:5">
      <c r="A19" s="4" t="s">
        <v>22</v>
      </c>
      <c r="B19" s="16" t="s">
        <v>171</v>
      </c>
      <c r="D19" s="3" t="s">
        <v>173</v>
      </c>
      <c r="E19" s="12">
        <v>4.0064180483298496E-2</v>
      </c>
    </row>
    <row r="20" spans="1:5">
      <c r="A20" s="4" t="s">
        <v>23</v>
      </c>
      <c r="B20" s="16" t="s">
        <v>172</v>
      </c>
      <c r="D20" s="3" t="s">
        <v>181</v>
      </c>
      <c r="E20" s="12">
        <v>1</v>
      </c>
    </row>
    <row r="21" spans="1:5">
      <c r="A21" s="4" t="s">
        <v>24</v>
      </c>
      <c r="B21" s="16" t="s">
        <v>173</v>
      </c>
    </row>
    <row r="22" spans="1:5">
      <c r="A22" s="4" t="s">
        <v>25</v>
      </c>
      <c r="B22" s="16" t="s">
        <v>174</v>
      </c>
    </row>
    <row r="23" spans="1:5">
      <c r="A23" s="4" t="s">
        <v>26</v>
      </c>
      <c r="B23" s="16" t="s">
        <v>169</v>
      </c>
    </row>
    <row r="24" spans="1:5" ht="15" thickBot="1">
      <c r="A24" s="6" t="s">
        <v>27</v>
      </c>
      <c r="B24" s="18" t="s">
        <v>175</v>
      </c>
    </row>
  </sheetData>
  <mergeCells count="5">
    <mergeCell ref="E2:H3"/>
    <mergeCell ref="E5:H5"/>
    <mergeCell ref="K3:O3"/>
    <mergeCell ref="K5:O5"/>
    <mergeCell ref="K4:O4"/>
  </mergeCells>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F873A1-CF2F-467D-B48B-C16C9A2B610E}">
  <dimension ref="A1:C77"/>
  <sheetViews>
    <sheetView workbookViewId="0">
      <selection activeCell="L25" sqref="L25"/>
    </sheetView>
  </sheetViews>
  <sheetFormatPr defaultRowHeight="14.6"/>
  <cols>
    <col min="1" max="1" width="6.84375" bestFit="1" customWidth="1"/>
    <col min="2" max="2" width="11.23046875" bestFit="1" customWidth="1"/>
    <col min="3" max="3" width="14.69140625" bestFit="1" customWidth="1"/>
  </cols>
  <sheetData>
    <row r="1" spans="1:3">
      <c r="A1" t="s">
        <v>1</v>
      </c>
      <c r="B1" t="s">
        <v>0</v>
      </c>
      <c r="C1" t="s">
        <v>29</v>
      </c>
    </row>
    <row r="2" spans="1:3">
      <c r="A2">
        <v>2017</v>
      </c>
      <c r="B2" t="s">
        <v>35</v>
      </c>
      <c r="C2">
        <v>130.30000000000001</v>
      </c>
    </row>
    <row r="3" spans="1:3">
      <c r="A3">
        <v>2017</v>
      </c>
      <c r="B3" t="s">
        <v>35</v>
      </c>
      <c r="C3">
        <v>130.6</v>
      </c>
    </row>
    <row r="4" spans="1:3">
      <c r="A4">
        <v>2017</v>
      </c>
      <c r="B4" t="s">
        <v>35</v>
      </c>
      <c r="C4">
        <v>130.9</v>
      </c>
    </row>
    <row r="5" spans="1:3">
      <c r="A5">
        <v>2017</v>
      </c>
      <c r="B5" t="s">
        <v>35</v>
      </c>
      <c r="C5">
        <v>131.1</v>
      </c>
    </row>
    <row r="6" spans="1:3">
      <c r="A6">
        <v>2017</v>
      </c>
      <c r="B6" t="s">
        <v>35</v>
      </c>
      <c r="C6">
        <v>131.4</v>
      </c>
    </row>
    <row r="7" spans="1:3">
      <c r="A7">
        <v>2017</v>
      </c>
      <c r="B7" t="s">
        <v>35</v>
      </c>
      <c r="C7">
        <v>132</v>
      </c>
    </row>
    <row r="8" spans="1:3">
      <c r="A8">
        <v>2017</v>
      </c>
      <c r="B8" t="s">
        <v>35</v>
      </c>
      <c r="C8">
        <v>134.19999999999999</v>
      </c>
    </row>
    <row r="9" spans="1:3">
      <c r="A9">
        <v>2017</v>
      </c>
      <c r="B9" t="s">
        <v>35</v>
      </c>
      <c r="C9">
        <v>135.4</v>
      </c>
    </row>
    <row r="10" spans="1:3">
      <c r="A10">
        <v>2017</v>
      </c>
      <c r="B10" t="s">
        <v>35</v>
      </c>
      <c r="C10">
        <v>135.19999999999999</v>
      </c>
    </row>
    <row r="11" spans="1:3">
      <c r="A11">
        <v>2017</v>
      </c>
      <c r="B11" t="s">
        <v>35</v>
      </c>
      <c r="C11">
        <v>136.1</v>
      </c>
    </row>
    <row r="12" spans="1:3">
      <c r="A12">
        <v>2017</v>
      </c>
      <c r="B12" t="s">
        <v>35</v>
      </c>
      <c r="C12">
        <v>137.6</v>
      </c>
    </row>
    <row r="13" spans="1:3">
      <c r="A13">
        <v>2017</v>
      </c>
      <c r="B13" t="s">
        <v>35</v>
      </c>
      <c r="C13">
        <v>137.19999999999999</v>
      </c>
    </row>
    <row r="14" spans="1:3">
      <c r="A14">
        <v>2018</v>
      </c>
      <c r="B14" t="s">
        <v>35</v>
      </c>
      <c r="C14">
        <v>136.9</v>
      </c>
    </row>
    <row r="15" spans="1:3">
      <c r="A15">
        <v>2018</v>
      </c>
      <c r="B15" t="s">
        <v>35</v>
      </c>
      <c r="C15">
        <v>136.4</v>
      </c>
    </row>
    <row r="16" spans="1:3">
      <c r="A16">
        <v>2018</v>
      </c>
      <c r="B16" t="s">
        <v>35</v>
      </c>
      <c r="C16">
        <v>136.5</v>
      </c>
    </row>
    <row r="17" spans="1:3">
      <c r="A17">
        <v>2018</v>
      </c>
      <c r="B17" t="s">
        <v>35</v>
      </c>
      <c r="C17">
        <v>137.1</v>
      </c>
    </row>
    <row r="18" spans="1:3">
      <c r="A18">
        <v>2018</v>
      </c>
      <c r="B18" t="s">
        <v>35</v>
      </c>
      <c r="C18">
        <v>137.80000000000001</v>
      </c>
    </row>
    <row r="19" spans="1:3">
      <c r="A19">
        <v>2018</v>
      </c>
      <c r="B19" t="s">
        <v>35</v>
      </c>
      <c r="C19">
        <v>138.5</v>
      </c>
    </row>
    <row r="20" spans="1:3">
      <c r="A20">
        <v>2018</v>
      </c>
      <c r="B20" t="s">
        <v>35</v>
      </c>
      <c r="C20">
        <v>139.80000000000001</v>
      </c>
    </row>
    <row r="21" spans="1:3">
      <c r="A21">
        <v>2018</v>
      </c>
      <c r="B21" t="s">
        <v>35</v>
      </c>
      <c r="C21">
        <v>140.4</v>
      </c>
    </row>
    <row r="22" spans="1:3">
      <c r="A22">
        <v>2018</v>
      </c>
      <c r="B22" t="s">
        <v>35</v>
      </c>
      <c r="C22">
        <v>140.19999999999999</v>
      </c>
    </row>
    <row r="23" spans="1:3">
      <c r="A23">
        <v>2018</v>
      </c>
      <c r="B23" t="s">
        <v>35</v>
      </c>
      <c r="C23">
        <v>140.80000000000001</v>
      </c>
    </row>
    <row r="24" spans="1:3">
      <c r="A24">
        <v>2018</v>
      </c>
      <c r="B24" t="s">
        <v>35</v>
      </c>
      <c r="C24">
        <v>140.80000000000001</v>
      </c>
    </row>
    <row r="25" spans="1:3">
      <c r="A25">
        <v>2018</v>
      </c>
      <c r="B25" t="s">
        <v>35</v>
      </c>
      <c r="C25">
        <v>140.1</v>
      </c>
    </row>
    <row r="26" spans="1:3">
      <c r="A26">
        <v>2019</v>
      </c>
      <c r="B26" t="s">
        <v>35</v>
      </c>
      <c r="C26">
        <v>139.6</v>
      </c>
    </row>
    <row r="27" spans="1:3">
      <c r="A27">
        <v>2019</v>
      </c>
      <c r="B27" t="s">
        <v>35</v>
      </c>
      <c r="C27">
        <v>139.9</v>
      </c>
    </row>
    <row r="28" spans="1:3">
      <c r="A28">
        <v>2019</v>
      </c>
      <c r="B28" t="s">
        <v>35</v>
      </c>
      <c r="C28">
        <v>140.4</v>
      </c>
    </row>
    <row r="29" spans="1:3">
      <c r="A29">
        <v>2019</v>
      </c>
      <c r="B29" t="s">
        <v>35</v>
      </c>
      <c r="C29">
        <v>142</v>
      </c>
    </row>
    <row r="30" spans="1:3">
      <c r="A30">
        <v>2019</v>
      </c>
      <c r="B30" t="s">
        <v>35</v>
      </c>
      <c r="C30">
        <v>142.9</v>
      </c>
    </row>
    <row r="31" spans="1:3">
      <c r="A31">
        <v>2019</v>
      </c>
      <c r="B31" t="s">
        <v>35</v>
      </c>
      <c r="C31">
        <v>144.19999999999999</v>
      </c>
    </row>
    <row r="32" spans="1:3">
      <c r="A32">
        <v>2019</v>
      </c>
      <c r="B32" t="s">
        <v>35</v>
      </c>
      <c r="C32">
        <v>145</v>
      </c>
    </row>
    <row r="33" spans="1:3">
      <c r="A33">
        <v>2019</v>
      </c>
      <c r="B33" t="s">
        <v>35</v>
      </c>
      <c r="C33">
        <v>145.80000000000001</v>
      </c>
    </row>
    <row r="34" spans="1:3">
      <c r="A34">
        <v>2019</v>
      </c>
      <c r="B34" t="s">
        <v>35</v>
      </c>
      <c r="C34">
        <v>147.19999999999999</v>
      </c>
    </row>
    <row r="35" spans="1:3">
      <c r="A35">
        <v>2019</v>
      </c>
      <c r="B35" t="s">
        <v>35</v>
      </c>
      <c r="C35">
        <v>148.6</v>
      </c>
    </row>
    <row r="36" spans="1:3">
      <c r="A36">
        <v>2019</v>
      </c>
      <c r="B36" t="s">
        <v>35</v>
      </c>
      <c r="C36">
        <v>150.4</v>
      </c>
    </row>
    <row r="37" spans="1:3">
      <c r="A37">
        <v>2020</v>
      </c>
      <c r="B37" t="s">
        <v>35</v>
      </c>
      <c r="C37">
        <v>150.19999999999999</v>
      </c>
    </row>
    <row r="38" spans="1:3">
      <c r="A38">
        <v>2020</v>
      </c>
      <c r="B38" t="s">
        <v>35</v>
      </c>
      <c r="C38">
        <v>149.1</v>
      </c>
    </row>
    <row r="39" spans="1:3">
      <c r="A39">
        <v>2020</v>
      </c>
      <c r="B39" t="s">
        <v>35</v>
      </c>
      <c r="C39">
        <v>148.6</v>
      </c>
    </row>
    <row r="40" spans="1:3">
      <c r="A40">
        <v>2020</v>
      </c>
      <c r="B40" t="s">
        <v>35</v>
      </c>
    </row>
    <row r="41" spans="1:3">
      <c r="A41">
        <v>2020</v>
      </c>
      <c r="B41" t="s">
        <v>35</v>
      </c>
    </row>
    <row r="42" spans="1:3">
      <c r="A42">
        <v>2020</v>
      </c>
      <c r="B42" t="s">
        <v>35</v>
      </c>
      <c r="C42">
        <v>151.80000000000001</v>
      </c>
    </row>
    <row r="43" spans="1:3">
      <c r="A43">
        <v>2020</v>
      </c>
      <c r="B43" t="s">
        <v>35</v>
      </c>
      <c r="C43">
        <v>151.80000000000001</v>
      </c>
    </row>
    <row r="44" spans="1:3">
      <c r="A44">
        <v>2020</v>
      </c>
      <c r="B44" t="s">
        <v>35</v>
      </c>
      <c r="C44">
        <v>153.9</v>
      </c>
    </row>
    <row r="45" spans="1:3">
      <c r="A45">
        <v>2020</v>
      </c>
      <c r="B45" t="s">
        <v>35</v>
      </c>
      <c r="C45">
        <v>154.69999999999999</v>
      </c>
    </row>
    <row r="46" spans="1:3">
      <c r="A46">
        <v>2020</v>
      </c>
      <c r="B46" t="s">
        <v>35</v>
      </c>
      <c r="C46">
        <v>156.4</v>
      </c>
    </row>
    <row r="47" spans="1:3">
      <c r="A47">
        <v>2020</v>
      </c>
      <c r="B47" t="s">
        <v>35</v>
      </c>
      <c r="C47">
        <v>158.4</v>
      </c>
    </row>
    <row r="48" spans="1:3">
      <c r="A48">
        <v>2020</v>
      </c>
      <c r="B48" t="s">
        <v>35</v>
      </c>
      <c r="C48">
        <v>158.9</v>
      </c>
    </row>
    <row r="49" spans="1:3">
      <c r="A49">
        <v>2021</v>
      </c>
      <c r="B49" t="s">
        <v>35</v>
      </c>
      <c r="C49">
        <v>157.30000000000001</v>
      </c>
    </row>
    <row r="50" spans="1:3">
      <c r="A50">
        <v>2021</v>
      </c>
      <c r="B50" t="s">
        <v>35</v>
      </c>
      <c r="C50">
        <v>156.6</v>
      </c>
    </row>
    <row r="51" spans="1:3">
      <c r="A51">
        <v>2021</v>
      </c>
      <c r="B51" t="s">
        <v>35</v>
      </c>
      <c r="C51">
        <v>156.80000000000001</v>
      </c>
    </row>
    <row r="52" spans="1:3">
      <c r="A52">
        <v>2021</v>
      </c>
      <c r="B52" t="s">
        <v>35</v>
      </c>
      <c r="C52">
        <v>157.80000000000001</v>
      </c>
    </row>
    <row r="53" spans="1:3">
      <c r="A53">
        <v>2021</v>
      </c>
      <c r="B53" t="s">
        <v>35</v>
      </c>
      <c r="C53">
        <v>160.4</v>
      </c>
    </row>
    <row r="54" spans="1:3">
      <c r="A54">
        <v>2021</v>
      </c>
      <c r="B54" t="s">
        <v>35</v>
      </c>
      <c r="C54">
        <v>161.30000000000001</v>
      </c>
    </row>
    <row r="55" spans="1:3">
      <c r="A55">
        <v>2021</v>
      </c>
      <c r="B55" t="s">
        <v>35</v>
      </c>
      <c r="C55">
        <v>162.5</v>
      </c>
    </row>
    <row r="56" spans="1:3">
      <c r="A56">
        <v>2021</v>
      </c>
      <c r="B56" t="s">
        <v>35</v>
      </c>
      <c r="C56">
        <v>163.19999999999999</v>
      </c>
    </row>
    <row r="57" spans="1:3">
      <c r="A57">
        <v>2021</v>
      </c>
      <c r="B57" t="s">
        <v>35</v>
      </c>
      <c r="C57">
        <v>163.19999999999999</v>
      </c>
    </row>
    <row r="58" spans="1:3">
      <c r="A58">
        <v>2021</v>
      </c>
      <c r="B58" t="s">
        <v>35</v>
      </c>
      <c r="C58">
        <v>165.5</v>
      </c>
    </row>
    <row r="59" spans="1:3">
      <c r="A59">
        <v>2021</v>
      </c>
      <c r="B59" t="s">
        <v>35</v>
      </c>
      <c r="C59">
        <v>166.7</v>
      </c>
    </row>
    <row r="60" spans="1:3">
      <c r="A60">
        <v>2021</v>
      </c>
      <c r="B60" t="s">
        <v>35</v>
      </c>
      <c r="C60">
        <v>166.2</v>
      </c>
    </row>
    <row r="61" spans="1:3">
      <c r="A61">
        <v>2022</v>
      </c>
      <c r="B61" t="s">
        <v>35</v>
      </c>
      <c r="C61">
        <v>165.7</v>
      </c>
    </row>
    <row r="62" spans="1:3">
      <c r="A62">
        <v>2022</v>
      </c>
      <c r="B62" t="s">
        <v>35</v>
      </c>
      <c r="C62">
        <v>166.1</v>
      </c>
    </row>
    <row r="63" spans="1:3">
      <c r="A63">
        <v>2022</v>
      </c>
      <c r="B63" t="s">
        <v>35</v>
      </c>
      <c r="C63">
        <v>167.7</v>
      </c>
    </row>
    <row r="64" spans="1:3">
      <c r="A64">
        <v>2022</v>
      </c>
      <c r="B64" t="s">
        <v>35</v>
      </c>
      <c r="C64">
        <v>170.1</v>
      </c>
    </row>
    <row r="65" spans="1:3">
      <c r="A65">
        <v>2022</v>
      </c>
      <c r="B65" t="s">
        <v>35</v>
      </c>
      <c r="C65">
        <v>171.7</v>
      </c>
    </row>
    <row r="66" spans="1:3">
      <c r="A66">
        <v>2022</v>
      </c>
      <c r="B66" t="s">
        <v>35</v>
      </c>
      <c r="C66">
        <v>172.6</v>
      </c>
    </row>
    <row r="67" spans="1:3">
      <c r="A67">
        <v>2022</v>
      </c>
      <c r="B67" t="s">
        <v>35</v>
      </c>
      <c r="C67">
        <v>173.4</v>
      </c>
    </row>
    <row r="68" spans="1:3">
      <c r="A68">
        <v>2022</v>
      </c>
      <c r="B68" t="s">
        <v>35</v>
      </c>
      <c r="C68">
        <v>174.3</v>
      </c>
    </row>
    <row r="69" spans="1:3">
      <c r="A69">
        <v>2022</v>
      </c>
      <c r="B69" t="s">
        <v>35</v>
      </c>
      <c r="C69">
        <v>175.3</v>
      </c>
    </row>
    <row r="70" spans="1:3">
      <c r="A70">
        <v>2022</v>
      </c>
      <c r="B70" t="s">
        <v>35</v>
      </c>
      <c r="C70">
        <v>176.7</v>
      </c>
    </row>
    <row r="71" spans="1:3">
      <c r="A71">
        <v>2022</v>
      </c>
      <c r="B71" t="s">
        <v>35</v>
      </c>
      <c r="C71">
        <v>176.5</v>
      </c>
    </row>
    <row r="72" spans="1:3">
      <c r="A72">
        <v>2022</v>
      </c>
      <c r="B72" t="s">
        <v>35</v>
      </c>
      <c r="C72">
        <v>175.7</v>
      </c>
    </row>
    <row r="73" spans="1:3">
      <c r="A73">
        <v>2023</v>
      </c>
      <c r="B73" t="s">
        <v>35</v>
      </c>
      <c r="C73">
        <v>176.5</v>
      </c>
    </row>
    <row r="74" spans="1:3">
      <c r="A74">
        <v>2023</v>
      </c>
      <c r="B74" t="s">
        <v>35</v>
      </c>
      <c r="C74">
        <v>177.2</v>
      </c>
    </row>
    <row r="75" spans="1:3">
      <c r="A75">
        <v>2023</v>
      </c>
      <c r="B75" t="s">
        <v>35</v>
      </c>
      <c r="C75">
        <v>177.2</v>
      </c>
    </row>
    <row r="76" spans="1:3">
      <c r="A76">
        <v>2023</v>
      </c>
      <c r="B76" t="s">
        <v>35</v>
      </c>
      <c r="C76">
        <v>178.1</v>
      </c>
    </row>
    <row r="77" spans="1:3">
      <c r="A77">
        <v>2023</v>
      </c>
      <c r="B77" t="s">
        <v>35</v>
      </c>
      <c r="C77">
        <v>179.1</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C48592-3723-4483-9426-847CDC83D617}">
  <dimension ref="A1:L21"/>
  <sheetViews>
    <sheetView topLeftCell="C1" zoomScale="85" zoomScaleNormal="85" workbookViewId="0">
      <selection activeCell="N14" sqref="N14"/>
    </sheetView>
  </sheetViews>
  <sheetFormatPr defaultRowHeight="14.6"/>
  <cols>
    <col min="1" max="1" width="10.765625" bestFit="1" customWidth="1"/>
    <col min="2" max="2" width="16.3046875" bestFit="1" customWidth="1"/>
    <col min="3" max="3" width="10.765625" bestFit="1" customWidth="1"/>
    <col min="5" max="5" width="18.84375" customWidth="1"/>
    <col min="6" max="6" width="20.69140625" customWidth="1"/>
    <col min="7" max="7" width="18.3046875" customWidth="1"/>
    <col min="12" max="12" width="52.69140625" customWidth="1"/>
    <col min="13" max="13" width="8.84375" customWidth="1"/>
  </cols>
  <sheetData>
    <row r="1" spans="1:12" ht="15" thickBot="1"/>
    <row r="2" spans="1:12">
      <c r="F2" s="90" t="s">
        <v>290</v>
      </c>
      <c r="G2" s="91"/>
      <c r="H2" s="44"/>
    </row>
    <row r="3" spans="1:12" ht="15" thickBot="1">
      <c r="A3" s="2" t="s">
        <v>1</v>
      </c>
      <c r="B3" t="s">
        <v>285</v>
      </c>
      <c r="F3" s="92"/>
      <c r="G3" s="93"/>
    </row>
    <row r="4" spans="1:12">
      <c r="A4" s="3">
        <v>2017</v>
      </c>
      <c r="B4" s="15">
        <v>133.5</v>
      </c>
    </row>
    <row r="5" spans="1:12" ht="15" thickBot="1">
      <c r="A5" s="3">
        <v>2018</v>
      </c>
      <c r="B5" s="15">
        <v>138.77500000000001</v>
      </c>
    </row>
    <row r="6" spans="1:12" ht="15" thickBot="1">
      <c r="A6" s="3">
        <v>2019</v>
      </c>
      <c r="B6" s="15">
        <v>144.18181818181819</v>
      </c>
      <c r="L6" s="46" t="s">
        <v>289</v>
      </c>
    </row>
    <row r="7" spans="1:12" ht="15" thickBot="1">
      <c r="A7" s="3">
        <v>2020</v>
      </c>
      <c r="B7" s="15">
        <v>153.38000000000002</v>
      </c>
    </row>
    <row r="8" spans="1:12" ht="15" thickBot="1">
      <c r="A8" s="3">
        <v>2021</v>
      </c>
      <c r="B8" s="15">
        <v>161.45833333333334</v>
      </c>
      <c r="L8" s="45" t="s">
        <v>287</v>
      </c>
    </row>
    <row r="9" spans="1:12">
      <c r="A9" s="3">
        <v>2022</v>
      </c>
      <c r="B9" s="15">
        <v>172.14999999999998</v>
      </c>
      <c r="L9" s="94" t="s">
        <v>415</v>
      </c>
    </row>
    <row r="10" spans="1:12">
      <c r="A10" s="3">
        <v>2023</v>
      </c>
      <c r="B10" s="15">
        <v>177.62</v>
      </c>
      <c r="L10" s="95"/>
    </row>
    <row r="11" spans="1:12">
      <c r="A11" s="3" t="s">
        <v>181</v>
      </c>
      <c r="B11" s="15">
        <v>152.41216216216225</v>
      </c>
      <c r="L11" s="95"/>
    </row>
    <row r="12" spans="1:12" ht="15" thickBot="1"/>
    <row r="13" spans="1:12" ht="29.6" thickBot="1">
      <c r="L13" s="45" t="s">
        <v>288</v>
      </c>
    </row>
    <row r="14" spans="1:12" ht="15" thickBot="1">
      <c r="A14" s="50" t="s">
        <v>1</v>
      </c>
      <c r="B14" s="50" t="s">
        <v>182</v>
      </c>
      <c r="L14" s="94" t="s">
        <v>416</v>
      </c>
    </row>
    <row r="15" spans="1:12">
      <c r="A15" s="16" cm="1">
        <f t="array" ref="A15:A21">A4:A10</f>
        <v>2017</v>
      </c>
      <c r="B15" s="16"/>
      <c r="L15" s="95"/>
    </row>
    <row r="16" spans="1:12">
      <c r="A16" s="16">
        <v>2018</v>
      </c>
      <c r="B16" s="17">
        <f t="shared" ref="B16:B21" si="0">(B5-B4)/B4</f>
        <v>3.9513108614232254E-2</v>
      </c>
      <c r="L16" s="95"/>
    </row>
    <row r="17" spans="1:12" ht="15" thickBot="1">
      <c r="A17" s="16">
        <v>2019</v>
      </c>
      <c r="B17" s="17">
        <f t="shared" si="0"/>
        <v>3.8961038961038953E-2</v>
      </c>
    </row>
    <row r="18" spans="1:12" ht="29.6" thickBot="1">
      <c r="A18" s="16">
        <v>2020</v>
      </c>
      <c r="B18" s="17">
        <f t="shared" si="0"/>
        <v>6.3795712484237196E-2</v>
      </c>
      <c r="L18" s="45" t="s">
        <v>286</v>
      </c>
    </row>
    <row r="19" spans="1:12">
      <c r="A19" s="16">
        <v>2021</v>
      </c>
      <c r="B19" s="17">
        <f t="shared" si="0"/>
        <v>5.2668752988220872E-2</v>
      </c>
      <c r="L19" s="94" t="s">
        <v>417</v>
      </c>
    </row>
    <row r="20" spans="1:12" ht="15" customHeight="1">
      <c r="A20" s="20">
        <v>2022</v>
      </c>
      <c r="B20" s="21">
        <f t="shared" si="0"/>
        <v>6.6219354838709471E-2</v>
      </c>
      <c r="L20" s="95"/>
    </row>
    <row r="21" spans="1:12" ht="15" thickBot="1">
      <c r="A21" s="18">
        <v>2023</v>
      </c>
      <c r="B21" s="19">
        <f t="shared" si="0"/>
        <v>3.1774615161196791E-2</v>
      </c>
      <c r="L21" s="95"/>
    </row>
  </sheetData>
  <mergeCells count="4">
    <mergeCell ref="F2:G3"/>
    <mergeCell ref="L9:L11"/>
    <mergeCell ref="L14:L16"/>
    <mergeCell ref="L19:L21"/>
  </mergeCells>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4968F0-97A9-46C2-A5F6-0A7F913206C5}">
  <dimension ref="B1:G35"/>
  <sheetViews>
    <sheetView topLeftCell="A11" zoomScale="85" zoomScaleNormal="85" workbookViewId="0">
      <selection activeCell="N18" sqref="N18"/>
    </sheetView>
  </sheetViews>
  <sheetFormatPr defaultRowHeight="14.6"/>
  <cols>
    <col min="1" max="1" width="12.69140625" customWidth="1"/>
    <col min="2" max="2" width="17.3046875" customWidth="1"/>
    <col min="3" max="3" width="18.765625" customWidth="1"/>
    <col min="4" max="4" width="20.3046875" customWidth="1"/>
    <col min="13" max="13" width="33.15234375" customWidth="1"/>
    <col min="14" max="14" width="14.69140625" customWidth="1"/>
    <col min="15" max="15" width="13.3046875" customWidth="1"/>
    <col min="16" max="16" width="16" customWidth="1"/>
    <col min="17" max="17" width="11.4609375" customWidth="1"/>
    <col min="18" max="18" width="11.23046875" customWidth="1"/>
  </cols>
  <sheetData>
    <row r="1" spans="2:5" ht="15" thickBot="1"/>
    <row r="2" spans="2:5" ht="34.85" customHeight="1" thickBot="1">
      <c r="C2" s="96" t="s">
        <v>296</v>
      </c>
      <c r="D2" s="97"/>
      <c r="E2" s="98"/>
    </row>
    <row r="3" spans="2:5" ht="15" thickBot="1"/>
    <row r="4" spans="2:5" ht="15" thickBot="1">
      <c r="B4" s="8" t="s">
        <v>2</v>
      </c>
      <c r="C4" s="10" t="s">
        <v>291</v>
      </c>
      <c r="D4" s="9" t="s">
        <v>292</v>
      </c>
    </row>
    <row r="5" spans="2:5">
      <c r="B5" s="4" t="s">
        <v>183</v>
      </c>
      <c r="C5">
        <v>174.9</v>
      </c>
      <c r="D5" s="5"/>
    </row>
    <row r="6" spans="2:5">
      <c r="B6" s="4" t="s">
        <v>192</v>
      </c>
      <c r="C6">
        <v>175</v>
      </c>
      <c r="D6" s="22">
        <f>(C6-C5)/C5</f>
        <v>5.7175528873638828E-4</v>
      </c>
    </row>
    <row r="7" spans="2:5">
      <c r="B7" s="4" t="s">
        <v>193</v>
      </c>
      <c r="C7">
        <v>176.3</v>
      </c>
      <c r="D7" s="22">
        <f t="shared" ref="D7:D16" si="0">(C7-C6)/C6</f>
        <v>7.4285714285714935E-3</v>
      </c>
    </row>
    <row r="8" spans="2:5">
      <c r="B8" s="4" t="s">
        <v>184</v>
      </c>
      <c r="C8">
        <v>177.8</v>
      </c>
      <c r="D8" s="22">
        <f t="shared" si="0"/>
        <v>8.5082246171298923E-3</v>
      </c>
    </row>
    <row r="9" spans="2:5">
      <c r="B9" s="28" t="s">
        <v>185</v>
      </c>
      <c r="C9">
        <v>179.6</v>
      </c>
      <c r="D9" s="29">
        <f t="shared" si="0"/>
        <v>1.0123734533183255E-2</v>
      </c>
    </row>
    <row r="10" spans="2:5">
      <c r="B10" s="4" t="s">
        <v>186</v>
      </c>
      <c r="C10">
        <v>178.3</v>
      </c>
      <c r="D10" s="22">
        <f t="shared" si="0"/>
        <v>-7.2383073496658295E-3</v>
      </c>
    </row>
    <row r="11" spans="2:5">
      <c r="B11" s="28" t="s">
        <v>194</v>
      </c>
      <c r="C11">
        <v>175.9</v>
      </c>
      <c r="D11" s="29">
        <f t="shared" si="0"/>
        <v>-1.3460459899046581E-2</v>
      </c>
    </row>
    <row r="12" spans="2:5">
      <c r="B12" s="4" t="s">
        <v>187</v>
      </c>
      <c r="C12">
        <v>176.7</v>
      </c>
      <c r="D12" s="22">
        <f t="shared" si="0"/>
        <v>4.5480386583284984E-3</v>
      </c>
    </row>
    <row r="13" spans="2:5">
      <c r="B13" s="4" t="s">
        <v>188</v>
      </c>
      <c r="C13">
        <v>177</v>
      </c>
      <c r="D13" s="22">
        <f t="shared" si="0"/>
        <v>1.6977928692700134E-3</v>
      </c>
    </row>
    <row r="14" spans="2:5">
      <c r="B14" s="4" t="s">
        <v>189</v>
      </c>
      <c r="C14">
        <v>177</v>
      </c>
      <c r="D14" s="22">
        <f t="shared" si="0"/>
        <v>0</v>
      </c>
    </row>
    <row r="15" spans="2:5">
      <c r="B15" s="4" t="s">
        <v>190</v>
      </c>
      <c r="C15">
        <v>177.9</v>
      </c>
      <c r="D15" s="22">
        <f t="shared" si="0"/>
        <v>5.0847457627118961E-3</v>
      </c>
    </row>
    <row r="16" spans="2:5" ht="15" thickBot="1">
      <c r="B16" s="6" t="s">
        <v>191</v>
      </c>
      <c r="C16" s="11">
        <v>179.1</v>
      </c>
      <c r="D16" s="23">
        <f t="shared" si="0"/>
        <v>6.7453625632377095E-3</v>
      </c>
    </row>
    <row r="18" spans="2:7" ht="15" thickBot="1"/>
    <row r="19" spans="2:7" ht="15" thickBot="1">
      <c r="B19" s="47" t="s">
        <v>293</v>
      </c>
      <c r="C19" s="48"/>
      <c r="D19" s="49"/>
    </row>
    <row r="20" spans="2:7" ht="15" thickBot="1"/>
    <row r="21" spans="2:7" ht="15" thickBot="1">
      <c r="B21" s="24" t="s">
        <v>294</v>
      </c>
      <c r="C21" s="26"/>
      <c r="D21" s="26"/>
    </row>
    <row r="22" spans="2:7" ht="14.25" customHeight="1">
      <c r="B22" s="95" t="s">
        <v>414</v>
      </c>
      <c r="C22" s="95"/>
      <c r="D22" s="95"/>
    </row>
    <row r="23" spans="2:7">
      <c r="B23" s="95"/>
      <c r="C23" s="95"/>
      <c r="D23" s="95"/>
    </row>
    <row r="24" spans="2:7">
      <c r="B24" s="95"/>
      <c r="C24" s="95"/>
      <c r="D24" s="95"/>
    </row>
    <row r="25" spans="2:7">
      <c r="B25" s="95"/>
      <c r="C25" s="95"/>
      <c r="D25" s="95"/>
    </row>
    <row r="26" spans="2:7">
      <c r="B26" s="95"/>
      <c r="C26" s="95"/>
      <c r="D26" s="95"/>
    </row>
    <row r="27" spans="2:7" ht="14.25" customHeight="1">
      <c r="B27" s="95"/>
      <c r="C27" s="95"/>
      <c r="D27" s="95"/>
    </row>
    <row r="28" spans="2:7" ht="15" thickBot="1"/>
    <row r="29" spans="2:7" ht="15" thickBot="1">
      <c r="B29" s="24" t="s">
        <v>295</v>
      </c>
      <c r="C29" s="70"/>
      <c r="D29" s="26"/>
    </row>
    <row r="30" spans="2:7">
      <c r="B30" s="95" t="s">
        <v>413</v>
      </c>
      <c r="C30" s="95"/>
      <c r="D30" s="95"/>
    </row>
    <row r="31" spans="2:7">
      <c r="B31" s="95"/>
      <c r="C31" s="95"/>
      <c r="D31" s="95"/>
    </row>
    <row r="32" spans="2:7">
      <c r="B32" s="95"/>
      <c r="C32" s="95"/>
      <c r="D32" s="95"/>
      <c r="G32" s="3"/>
    </row>
    <row r="33" spans="2:4">
      <c r="B33" s="95"/>
      <c r="C33" s="95"/>
      <c r="D33" s="95"/>
    </row>
    <row r="34" spans="2:4">
      <c r="B34" s="95"/>
      <c r="C34" s="95"/>
      <c r="D34" s="95"/>
    </row>
    <row r="35" spans="2:4">
      <c r="B35" s="95"/>
      <c r="C35" s="95"/>
      <c r="D35" s="95"/>
    </row>
  </sheetData>
  <mergeCells count="3">
    <mergeCell ref="C2:E2"/>
    <mergeCell ref="B30:D35"/>
    <mergeCell ref="B22:D27"/>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98E7C3-F5BA-472C-8B3C-E0E8BFA90614}">
  <dimension ref="B1:E34"/>
  <sheetViews>
    <sheetView topLeftCell="A15" zoomScale="85" zoomScaleNormal="85" workbookViewId="0">
      <selection activeCell="B36" sqref="B36"/>
    </sheetView>
  </sheetViews>
  <sheetFormatPr defaultRowHeight="14.6"/>
  <cols>
    <col min="2" max="2" width="31.84375" customWidth="1"/>
    <col min="3" max="3" width="14.3046875" customWidth="1"/>
    <col min="4" max="4" width="14.15234375" customWidth="1"/>
    <col min="5" max="5" width="16.15234375" customWidth="1"/>
  </cols>
  <sheetData>
    <row r="1" spans="2:5" ht="15" thickBot="1"/>
    <row r="2" spans="2:5" ht="15" customHeight="1">
      <c r="B2" s="90" t="s">
        <v>304</v>
      </c>
      <c r="C2" s="99"/>
      <c r="D2" s="91"/>
    </row>
    <row r="3" spans="2:5" ht="15" thickBot="1">
      <c r="B3" s="92"/>
      <c r="C3" s="100"/>
      <c r="D3" s="93"/>
    </row>
    <row r="4" spans="2:5" ht="15" thickBot="1"/>
    <row r="5" spans="2:5" ht="15" thickBot="1">
      <c r="B5" s="37" t="s">
        <v>297</v>
      </c>
      <c r="C5" s="10" t="s">
        <v>298</v>
      </c>
      <c r="D5" s="37" t="s">
        <v>299</v>
      </c>
      <c r="E5" s="37" t="s">
        <v>300</v>
      </c>
    </row>
    <row r="6" spans="2:5">
      <c r="B6" s="4" t="s">
        <v>3</v>
      </c>
      <c r="C6">
        <v>155</v>
      </c>
      <c r="D6">
        <v>173.7</v>
      </c>
      <c r="E6" s="5">
        <f t="shared" ref="E6:E17" si="0">D6-C6</f>
        <v>18.699999999999989</v>
      </c>
    </row>
    <row r="7" spans="2:5">
      <c r="B7" s="4" t="s">
        <v>4</v>
      </c>
      <c r="C7">
        <v>219.4</v>
      </c>
      <c r="D7">
        <v>214.3</v>
      </c>
      <c r="E7" s="5">
        <f t="shared" si="0"/>
        <v>-5.0999999999999943</v>
      </c>
    </row>
    <row r="8" spans="2:5">
      <c r="B8" s="4" t="s">
        <v>5</v>
      </c>
      <c r="C8">
        <v>170.8</v>
      </c>
      <c r="D8">
        <v>173.2</v>
      </c>
      <c r="E8" s="5">
        <f t="shared" si="0"/>
        <v>2.3999999999999773</v>
      </c>
    </row>
    <row r="9" spans="2:5">
      <c r="B9" s="4" t="s">
        <v>6</v>
      </c>
      <c r="C9">
        <v>165.8</v>
      </c>
      <c r="D9">
        <v>179.5</v>
      </c>
      <c r="E9" s="5">
        <f t="shared" si="0"/>
        <v>13.699999999999989</v>
      </c>
    </row>
    <row r="10" spans="2:5">
      <c r="B10" s="4" t="s">
        <v>7</v>
      </c>
      <c r="C10">
        <v>200.9</v>
      </c>
      <c r="D10">
        <v>170</v>
      </c>
      <c r="E10" s="5">
        <f t="shared" si="0"/>
        <v>-30.900000000000006</v>
      </c>
    </row>
    <row r="11" spans="2:5">
      <c r="B11" s="4" t="s">
        <v>8</v>
      </c>
      <c r="C11">
        <v>169.7</v>
      </c>
      <c r="D11">
        <v>172.2</v>
      </c>
      <c r="E11" s="5">
        <f t="shared" si="0"/>
        <v>2.5</v>
      </c>
    </row>
    <row r="12" spans="2:5">
      <c r="B12" s="4" t="s">
        <v>9</v>
      </c>
      <c r="C12">
        <v>182.3</v>
      </c>
      <c r="D12">
        <v>161</v>
      </c>
      <c r="E12" s="5">
        <f t="shared" si="0"/>
        <v>-21.300000000000011</v>
      </c>
    </row>
    <row r="13" spans="2:5">
      <c r="B13" s="4" t="s">
        <v>10</v>
      </c>
      <c r="C13">
        <v>164.3</v>
      </c>
      <c r="D13">
        <v>175.6</v>
      </c>
      <c r="E13" s="5">
        <f t="shared" si="0"/>
        <v>11.299999999999983</v>
      </c>
    </row>
    <row r="14" spans="2:5">
      <c r="B14" s="4" t="s">
        <v>11</v>
      </c>
      <c r="C14">
        <v>119.9</v>
      </c>
      <c r="D14">
        <v>122.7</v>
      </c>
      <c r="E14" s="5">
        <f t="shared" si="0"/>
        <v>2.7999999999999972</v>
      </c>
    </row>
    <row r="15" spans="2:5">
      <c r="B15" s="28" t="s">
        <v>12</v>
      </c>
      <c r="C15">
        <v>187.1</v>
      </c>
      <c r="D15">
        <v>218</v>
      </c>
      <c r="E15" s="27">
        <f t="shared" si="0"/>
        <v>30.900000000000006</v>
      </c>
    </row>
    <row r="16" spans="2:5">
      <c r="B16" s="4" t="s">
        <v>13</v>
      </c>
      <c r="C16">
        <v>167.9</v>
      </c>
      <c r="D16">
        <v>173.4</v>
      </c>
      <c r="E16" s="5">
        <f t="shared" si="0"/>
        <v>5.5</v>
      </c>
    </row>
    <row r="17" spans="2:5" ht="15" thickBot="1">
      <c r="B17" s="6" t="s">
        <v>14</v>
      </c>
      <c r="C17" s="11">
        <v>183.9</v>
      </c>
      <c r="D17" s="11">
        <v>194.2</v>
      </c>
      <c r="E17" s="7">
        <f t="shared" si="0"/>
        <v>10.299999999999983</v>
      </c>
    </row>
    <row r="19" spans="2:5" ht="15" thickBot="1"/>
    <row r="20" spans="2:5" ht="15" thickBot="1">
      <c r="B20" s="107" t="s">
        <v>301</v>
      </c>
      <c r="C20" s="108"/>
      <c r="D20" s="109"/>
    </row>
    <row r="21" spans="2:5" ht="14.5" customHeight="1">
      <c r="B21" s="101" t="s">
        <v>302</v>
      </c>
      <c r="C21" s="102"/>
      <c r="D21" s="103"/>
    </row>
    <row r="22" spans="2:5" ht="15" thickBot="1">
      <c r="B22" s="104"/>
      <c r="C22" s="105"/>
      <c r="D22" s="106"/>
    </row>
    <row r="23" spans="2:5" ht="14.5" customHeight="1">
      <c r="B23" s="95" t="s">
        <v>418</v>
      </c>
      <c r="C23" s="95"/>
      <c r="D23" s="95"/>
    </row>
    <row r="24" spans="2:5">
      <c r="B24" s="95"/>
      <c r="C24" s="95"/>
      <c r="D24" s="95"/>
    </row>
    <row r="25" spans="2:5">
      <c r="B25" s="95"/>
      <c r="C25" s="95"/>
      <c r="D25" s="95"/>
    </row>
    <row r="26" spans="2:5" ht="15" thickBot="1"/>
    <row r="27" spans="2:5">
      <c r="B27" s="101" t="s">
        <v>303</v>
      </c>
      <c r="C27" s="102"/>
      <c r="D27" s="103"/>
    </row>
    <row r="28" spans="2:5" ht="15" thickBot="1">
      <c r="B28" s="104"/>
      <c r="C28" s="105"/>
      <c r="D28" s="106"/>
    </row>
    <row r="29" spans="2:5">
      <c r="B29" s="94" t="s">
        <v>419</v>
      </c>
      <c r="C29" s="94"/>
      <c r="D29" s="94"/>
    </row>
    <row r="30" spans="2:5">
      <c r="B30" s="95"/>
      <c r="C30" s="95"/>
      <c r="D30" s="95"/>
    </row>
    <row r="31" spans="2:5">
      <c r="B31" s="95"/>
      <c r="C31" s="95"/>
      <c r="D31" s="95"/>
    </row>
    <row r="32" spans="2:5">
      <c r="B32" s="95" t="s">
        <v>420</v>
      </c>
      <c r="C32" s="95"/>
      <c r="D32" s="95"/>
    </row>
    <row r="33" spans="2:4">
      <c r="B33" s="95"/>
      <c r="C33" s="95"/>
      <c r="D33" s="95"/>
    </row>
    <row r="34" spans="2:4">
      <c r="B34" s="95"/>
      <c r="C34" s="95"/>
      <c r="D34" s="95"/>
    </row>
  </sheetData>
  <mergeCells count="7">
    <mergeCell ref="B2:D3"/>
    <mergeCell ref="B23:D25"/>
    <mergeCell ref="B29:D31"/>
    <mergeCell ref="B32:D34"/>
    <mergeCell ref="B21:D22"/>
    <mergeCell ref="B27:D28"/>
    <mergeCell ref="B20:D20"/>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7EAB26-E67A-45FD-8D35-D2274D8F67ED}">
  <dimension ref="A1:V73"/>
  <sheetViews>
    <sheetView zoomScale="70" zoomScaleNormal="70" workbookViewId="0">
      <pane ySplit="1" topLeftCell="A2" activePane="bottomLeft" state="frozen"/>
      <selection pane="bottomLeft" activeCell="O36" sqref="O36"/>
    </sheetView>
  </sheetViews>
  <sheetFormatPr defaultRowHeight="14.6"/>
  <cols>
    <col min="1" max="1" width="14.84375" bestFit="1" customWidth="1"/>
    <col min="2" max="2" width="18.15234375" hidden="1" customWidth="1"/>
    <col min="3" max="3" width="12.4609375" hidden="1" customWidth="1"/>
    <col min="4" max="4" width="27.23046875" hidden="1" customWidth="1"/>
    <col min="5" max="5" width="7.23046875" hidden="1" customWidth="1"/>
    <col min="6" max="6" width="26.69140625" hidden="1" customWidth="1"/>
    <col min="7" max="7" width="12.69140625" hidden="1" customWidth="1"/>
    <col min="8" max="8" width="27.15234375" hidden="1" customWidth="1"/>
    <col min="9" max="9" width="19.53515625" hidden="1" customWidth="1"/>
    <col min="10" max="10" width="33.4609375" hidden="1" customWidth="1"/>
    <col min="11" max="11" width="13.15234375" hidden="1" customWidth="1"/>
    <col min="12" max="12" width="33.53515625" hidden="1" customWidth="1"/>
    <col min="13" max="13" width="19.3046875" customWidth="1"/>
    <col min="15" max="15" width="44.3046875" customWidth="1"/>
    <col min="16" max="17" width="12" customWidth="1"/>
    <col min="18" max="18" width="14.23046875" customWidth="1"/>
    <col min="19" max="19" width="6" bestFit="1" customWidth="1"/>
  </cols>
  <sheetData>
    <row r="1" spans="1:22" ht="15" thickBot="1">
      <c r="A1" s="24" t="s">
        <v>257</v>
      </c>
      <c r="B1" s="25" t="s">
        <v>15</v>
      </c>
      <c r="C1" s="25" t="s">
        <v>21</v>
      </c>
      <c r="D1" s="25" t="s">
        <v>22</v>
      </c>
      <c r="E1" s="25" t="s">
        <v>23</v>
      </c>
      <c r="F1" s="25" t="s">
        <v>24</v>
      </c>
      <c r="G1" s="25" t="s">
        <v>29</v>
      </c>
      <c r="H1" s="25" t="s">
        <v>258</v>
      </c>
      <c r="I1" s="25" t="s">
        <v>259</v>
      </c>
      <c r="J1" s="25" t="s">
        <v>260</v>
      </c>
      <c r="K1" s="25" t="s">
        <v>261</v>
      </c>
      <c r="L1" s="25" t="s">
        <v>263</v>
      </c>
      <c r="M1" s="26" t="s">
        <v>264</v>
      </c>
    </row>
    <row r="2" spans="1:22">
      <c r="A2" s="4" t="s">
        <v>195</v>
      </c>
      <c r="B2">
        <v>133.1</v>
      </c>
      <c r="C2">
        <v>129.1</v>
      </c>
      <c r="D2">
        <v>130.1</v>
      </c>
      <c r="E2">
        <v>127.8</v>
      </c>
      <c r="F2">
        <v>117.6</v>
      </c>
      <c r="G2">
        <v>130.9</v>
      </c>
      <c r="M2" s="5"/>
      <c r="P2" s="90" t="s">
        <v>305</v>
      </c>
      <c r="Q2" s="99"/>
      <c r="R2" s="99"/>
      <c r="S2" s="99"/>
      <c r="T2" s="99"/>
      <c r="U2" s="99"/>
      <c r="V2" s="91"/>
    </row>
    <row r="3" spans="1:22" ht="15" thickBot="1">
      <c r="A3" s="4" t="s">
        <v>196</v>
      </c>
      <c r="B3">
        <v>133.5</v>
      </c>
      <c r="C3">
        <v>129.80000000000001</v>
      </c>
      <c r="D3">
        <v>130.4</v>
      </c>
      <c r="E3">
        <v>128.1</v>
      </c>
      <c r="F3">
        <v>116.6</v>
      </c>
      <c r="G3">
        <v>131.1</v>
      </c>
      <c r="H3" s="31">
        <f t="shared" ref="H3:M3" si="0">(B3-B2)/B2</f>
        <v>3.0052592036063537E-3</v>
      </c>
      <c r="I3" s="31">
        <f t="shared" si="0"/>
        <v>5.4221533694811547E-3</v>
      </c>
      <c r="J3" s="31">
        <f t="shared" si="0"/>
        <v>2.3059185242122319E-3</v>
      </c>
      <c r="K3" s="31">
        <f t="shared" si="0"/>
        <v>2.3474178403755648E-3</v>
      </c>
      <c r="L3" s="31">
        <f t="shared" si="0"/>
        <v>-8.5034013605442185E-3</v>
      </c>
      <c r="M3" s="22">
        <f t="shared" si="0"/>
        <v>1.5278838808249703E-3</v>
      </c>
      <c r="P3" s="92"/>
      <c r="Q3" s="100"/>
      <c r="R3" s="100"/>
      <c r="S3" s="100"/>
      <c r="T3" s="100"/>
      <c r="U3" s="100"/>
      <c r="V3" s="93"/>
    </row>
    <row r="4" spans="1:22">
      <c r="A4" s="4" t="s">
        <v>197</v>
      </c>
      <c r="B4">
        <v>133.69999999999999</v>
      </c>
      <c r="C4">
        <v>129.4</v>
      </c>
      <c r="D4">
        <v>130.9</v>
      </c>
      <c r="E4">
        <v>128.4</v>
      </c>
      <c r="F4">
        <v>116.7</v>
      </c>
      <c r="G4">
        <v>131.4</v>
      </c>
      <c r="H4" s="31">
        <f t="shared" ref="H4:H67" si="1">(B4-B3)/B3</f>
        <v>1.4981273408238849E-3</v>
      </c>
      <c r="I4" s="31">
        <f t="shared" ref="I4:I67" si="2">(C4-C3)/C3</f>
        <v>-3.0816640986132946E-3</v>
      </c>
      <c r="J4" s="31">
        <f t="shared" ref="J4:J67" si="3">(D4-D3)/D3</f>
        <v>3.8343558282208589E-3</v>
      </c>
      <c r="K4" s="31">
        <f t="shared" ref="K4:K67" si="4">(E4-E3)/E3</f>
        <v>2.3419203747073489E-3</v>
      </c>
      <c r="L4" s="31">
        <f t="shared" ref="L4:L67" si="5">(F4-F3)/F3</f>
        <v>8.5763293310470439E-4</v>
      </c>
      <c r="M4" s="22">
        <f t="shared" ref="M4:M67" si="6">(G4-G3)/G3</f>
        <v>2.2883295194508877E-3</v>
      </c>
    </row>
    <row r="5" spans="1:22">
      <c r="A5" s="4" t="s">
        <v>198</v>
      </c>
      <c r="B5">
        <v>135.19999999999999</v>
      </c>
      <c r="C5">
        <v>128.80000000000001</v>
      </c>
      <c r="D5">
        <v>131.19999999999999</v>
      </c>
      <c r="E5">
        <v>128.5</v>
      </c>
      <c r="F5">
        <v>116.5</v>
      </c>
      <c r="G5">
        <v>132</v>
      </c>
      <c r="H5" s="31">
        <f t="shared" si="1"/>
        <v>1.1219147344801795E-2</v>
      </c>
      <c r="I5" s="31">
        <f t="shared" si="2"/>
        <v>-4.6367851622874361E-3</v>
      </c>
      <c r="J5" s="31">
        <f t="shared" si="3"/>
        <v>2.2918258212374556E-3</v>
      </c>
      <c r="K5" s="31">
        <f t="shared" si="4"/>
        <v>7.7881619937690278E-4</v>
      </c>
      <c r="L5" s="31">
        <f t="shared" si="5"/>
        <v>-1.7137960582690904E-3</v>
      </c>
      <c r="M5" s="22">
        <f t="shared" si="6"/>
        <v>4.5662100456620568E-3</v>
      </c>
    </row>
    <row r="6" spans="1:22" ht="15" thickBot="1">
      <c r="A6" s="4" t="s">
        <v>199</v>
      </c>
      <c r="B6">
        <v>139</v>
      </c>
      <c r="C6">
        <v>129.4</v>
      </c>
      <c r="D6">
        <v>131.9</v>
      </c>
      <c r="E6">
        <v>129.4</v>
      </c>
      <c r="F6">
        <v>116</v>
      </c>
      <c r="G6">
        <v>134.19999999999999</v>
      </c>
      <c r="H6" s="31">
        <f t="shared" si="1"/>
        <v>2.8106508875739733E-2</v>
      </c>
      <c r="I6" s="31">
        <f t="shared" si="2"/>
        <v>4.6583850931676577E-3</v>
      </c>
      <c r="J6" s="31">
        <f t="shared" si="3"/>
        <v>5.3353658536586671E-3</v>
      </c>
      <c r="K6" s="31">
        <f t="shared" si="4"/>
        <v>7.0038910505837021E-3</v>
      </c>
      <c r="L6" s="31">
        <f t="shared" si="5"/>
        <v>-4.2918454935622317E-3</v>
      </c>
      <c r="M6" s="22">
        <f t="shared" si="6"/>
        <v>1.666666666666658E-2</v>
      </c>
    </row>
    <row r="7" spans="1:22" ht="15" thickBot="1">
      <c r="A7" s="4" t="s">
        <v>200</v>
      </c>
      <c r="B7">
        <v>140.6</v>
      </c>
      <c r="C7">
        <v>129.80000000000001</v>
      </c>
      <c r="D7">
        <v>132.80000000000001</v>
      </c>
      <c r="E7">
        <v>130.19999999999999</v>
      </c>
      <c r="F7">
        <v>117.3</v>
      </c>
      <c r="G7">
        <v>135.4</v>
      </c>
      <c r="H7" s="31">
        <f t="shared" si="1"/>
        <v>1.1510791366906433E-2</v>
      </c>
      <c r="I7" s="31">
        <f t="shared" si="2"/>
        <v>3.0911901081916975E-3</v>
      </c>
      <c r="J7" s="31">
        <f t="shared" si="3"/>
        <v>6.8233510235026964E-3</v>
      </c>
      <c r="K7" s="31">
        <f t="shared" si="4"/>
        <v>6.1823802163831756E-3</v>
      </c>
      <c r="L7" s="31">
        <f t="shared" si="5"/>
        <v>1.1206896551724113E-2</v>
      </c>
      <c r="M7" s="22">
        <f t="shared" si="6"/>
        <v>8.9418777943369391E-3</v>
      </c>
      <c r="O7" s="24"/>
      <c r="P7" s="10" t="s">
        <v>266</v>
      </c>
      <c r="Q7" s="10" t="s">
        <v>267</v>
      </c>
      <c r="R7" s="37" t="s">
        <v>309</v>
      </c>
    </row>
    <row r="8" spans="1:22">
      <c r="A8" s="4" t="s">
        <v>201</v>
      </c>
      <c r="B8">
        <v>139</v>
      </c>
      <c r="C8">
        <v>131</v>
      </c>
      <c r="D8">
        <v>133.30000000000001</v>
      </c>
      <c r="E8">
        <v>130.6</v>
      </c>
      <c r="F8">
        <v>118.3</v>
      </c>
      <c r="G8">
        <v>135.19999999999999</v>
      </c>
      <c r="H8" s="31">
        <f t="shared" si="1"/>
        <v>-1.1379800853485025E-2</v>
      </c>
      <c r="I8" s="31">
        <f t="shared" si="2"/>
        <v>9.2449922958396658E-3</v>
      </c>
      <c r="J8" s="31">
        <f t="shared" si="3"/>
        <v>3.765060240963855E-3</v>
      </c>
      <c r="K8" s="31">
        <f t="shared" si="4"/>
        <v>3.0721966205837612E-3</v>
      </c>
      <c r="L8" s="31">
        <f t="shared" si="5"/>
        <v>8.5251491901108273E-3</v>
      </c>
      <c r="M8" s="22">
        <f t="shared" si="6"/>
        <v>-1.4771048744462115E-3</v>
      </c>
      <c r="O8" s="30" t="s">
        <v>265</v>
      </c>
      <c r="P8" s="31">
        <f>AVERAGE(M2:M37)</f>
        <v>3.6454824407438492E-3</v>
      </c>
      <c r="Q8" s="12">
        <f>AVERAGE(M38:M73)</f>
        <v>5.0708618429336563E-3</v>
      </c>
      <c r="R8" s="35">
        <f t="shared" ref="R8:R13" si="7">Q8-P8</f>
        <v>1.4253794021898071E-3</v>
      </c>
    </row>
    <row r="9" spans="1:22">
      <c r="A9" s="4" t="s">
        <v>202</v>
      </c>
      <c r="B9">
        <v>140.1</v>
      </c>
      <c r="C9">
        <v>132.19999999999999</v>
      </c>
      <c r="D9">
        <v>133.6</v>
      </c>
      <c r="E9">
        <v>131.30000000000001</v>
      </c>
      <c r="F9">
        <v>117.8</v>
      </c>
      <c r="G9">
        <v>136.1</v>
      </c>
      <c r="H9" s="31">
        <f t="shared" si="1"/>
        <v>7.9136690647481599E-3</v>
      </c>
      <c r="I9" s="31">
        <f t="shared" si="2"/>
        <v>9.160305343511364E-3</v>
      </c>
      <c r="J9" s="31">
        <f t="shared" si="3"/>
        <v>2.250562640660037E-3</v>
      </c>
      <c r="K9" s="31">
        <f t="shared" si="4"/>
        <v>5.3598774885146791E-3</v>
      </c>
      <c r="L9" s="31">
        <f t="shared" si="5"/>
        <v>-4.22654268808115E-3</v>
      </c>
      <c r="M9" s="22">
        <f t="shared" si="6"/>
        <v>6.6568047337278533E-3</v>
      </c>
      <c r="O9" s="30" t="s">
        <v>268</v>
      </c>
      <c r="P9" s="31">
        <f>AVERAGE(I2:I37)</f>
        <v>4.1310196120130007E-3</v>
      </c>
      <c r="Q9" s="12">
        <f>AVERAGE(I38:I73)</f>
        <v>5.7006994624311368E-3</v>
      </c>
      <c r="R9" s="35">
        <f t="shared" si="7"/>
        <v>1.5696798504181361E-3</v>
      </c>
    </row>
    <row r="10" spans="1:22">
      <c r="A10" s="4" t="s">
        <v>203</v>
      </c>
      <c r="B10">
        <v>142.1</v>
      </c>
      <c r="C10">
        <v>135.30000000000001</v>
      </c>
      <c r="D10">
        <v>134.4</v>
      </c>
      <c r="E10">
        <v>132.6</v>
      </c>
      <c r="F10">
        <v>118.3</v>
      </c>
      <c r="G10">
        <v>137.6</v>
      </c>
      <c r="H10" s="31">
        <f t="shared" si="1"/>
        <v>1.4275517487508924E-2</v>
      </c>
      <c r="I10" s="31">
        <f t="shared" si="2"/>
        <v>2.3449319213313335E-2</v>
      </c>
      <c r="J10" s="31">
        <f t="shared" si="3"/>
        <v>5.9880239520958937E-3</v>
      </c>
      <c r="K10" s="31">
        <f t="shared" si="4"/>
        <v>9.900990099009771E-3</v>
      </c>
      <c r="L10" s="31">
        <f t="shared" si="5"/>
        <v>4.2444821731748728E-3</v>
      </c>
      <c r="M10" s="22">
        <f t="shared" si="6"/>
        <v>1.1021307861866276E-2</v>
      </c>
      <c r="O10" s="30" t="s">
        <v>269</v>
      </c>
      <c r="P10" s="31">
        <f>AVERAGE(H2:H37)</f>
        <v>3.2739577805695774E-3</v>
      </c>
      <c r="Q10" s="12">
        <f>AVERAGE(H38:H73)</f>
        <v>4.9459848351451445E-3</v>
      </c>
      <c r="R10" s="35">
        <f t="shared" si="7"/>
        <v>1.6720270545755671E-3</v>
      </c>
    </row>
    <row r="11" spans="1:22">
      <c r="A11" s="4" t="s">
        <v>204</v>
      </c>
      <c r="B11">
        <v>140.5</v>
      </c>
      <c r="C11">
        <v>136.6</v>
      </c>
      <c r="D11">
        <v>134.69999999999999</v>
      </c>
      <c r="E11">
        <v>133.1</v>
      </c>
      <c r="F11">
        <v>118.5</v>
      </c>
      <c r="G11">
        <v>137.19999999999999</v>
      </c>
      <c r="H11" s="31">
        <f t="shared" si="1"/>
        <v>-1.1259676284306786E-2</v>
      </c>
      <c r="I11" s="31">
        <f t="shared" si="2"/>
        <v>9.6082779009607003E-3</v>
      </c>
      <c r="J11" s="31">
        <f t="shared" si="3"/>
        <v>2.23214285714273E-3</v>
      </c>
      <c r="K11" s="31">
        <f t="shared" si="4"/>
        <v>3.770739064856712E-3</v>
      </c>
      <c r="L11" s="31">
        <f t="shared" si="5"/>
        <v>1.6906170752324838E-3</v>
      </c>
      <c r="M11" s="22">
        <f t="shared" si="6"/>
        <v>-2.9069767441860881E-3</v>
      </c>
      <c r="O11" s="30" t="s">
        <v>270</v>
      </c>
      <c r="P11" s="31">
        <f>AVERAGE(J2:J37)</f>
        <v>3.3834310777559667E-3</v>
      </c>
      <c r="Q11" s="12">
        <f>AVERAGE(J38:J73)</f>
        <v>4.9801830770657488E-3</v>
      </c>
      <c r="R11" s="35">
        <f t="shared" si="7"/>
        <v>1.596751999309782E-3</v>
      </c>
    </row>
    <row r="12" spans="1:22">
      <c r="A12" s="4" t="s">
        <v>205</v>
      </c>
      <c r="B12">
        <v>139.19999999999999</v>
      </c>
      <c r="C12">
        <v>136.6</v>
      </c>
      <c r="D12">
        <v>134.9</v>
      </c>
      <c r="E12">
        <v>133.30000000000001</v>
      </c>
      <c r="F12">
        <v>119.3</v>
      </c>
      <c r="G12">
        <v>136.9</v>
      </c>
      <c r="H12" s="31">
        <f t="shared" si="1"/>
        <v>-9.2526690391459884E-3</v>
      </c>
      <c r="I12" s="31">
        <f t="shared" si="2"/>
        <v>0</v>
      </c>
      <c r="J12" s="31">
        <f t="shared" si="3"/>
        <v>1.4847809948033933E-3</v>
      </c>
      <c r="K12" s="31">
        <f t="shared" si="4"/>
        <v>1.5026296018032838E-3</v>
      </c>
      <c r="L12" s="31">
        <f t="shared" si="5"/>
        <v>6.7510548523206509E-3</v>
      </c>
      <c r="M12" s="22">
        <f t="shared" si="6"/>
        <v>-2.1865889212826749E-3</v>
      </c>
      <c r="O12" s="30" t="s">
        <v>262</v>
      </c>
      <c r="P12" s="31">
        <f>AVERAGE(L2:L37)</f>
        <v>2.8705920678062271E-3</v>
      </c>
      <c r="Q12" s="12">
        <f>AVERAGE(L38:L73)</f>
        <v>6.6132112753705119E-3</v>
      </c>
      <c r="R12" s="35">
        <f t="shared" si="7"/>
        <v>3.7426192075642848E-3</v>
      </c>
    </row>
    <row r="13" spans="1:22" ht="15" thickBot="1">
      <c r="A13" s="4" t="s">
        <v>206</v>
      </c>
      <c r="B13">
        <v>137.6</v>
      </c>
      <c r="C13">
        <v>136.69999999999999</v>
      </c>
      <c r="D13">
        <v>135.19999999999999</v>
      </c>
      <c r="E13">
        <v>133.80000000000001</v>
      </c>
      <c r="F13">
        <v>120.2</v>
      </c>
      <c r="G13">
        <v>136.4</v>
      </c>
      <c r="H13" s="31">
        <f t="shared" si="1"/>
        <v>-1.1494252873563178E-2</v>
      </c>
      <c r="I13" s="31">
        <f t="shared" si="2"/>
        <v>7.3206442166906527E-4</v>
      </c>
      <c r="J13" s="31">
        <f t="shared" si="3"/>
        <v>2.2238695329872714E-3</v>
      </c>
      <c r="K13" s="31">
        <f t="shared" si="4"/>
        <v>3.7509377344336079E-3</v>
      </c>
      <c r="L13" s="31">
        <f t="shared" si="5"/>
        <v>7.5440067057837863E-3</v>
      </c>
      <c r="M13" s="22">
        <f t="shared" si="6"/>
        <v>-3.6523009495982466E-3</v>
      </c>
      <c r="O13" s="32" t="s">
        <v>23</v>
      </c>
      <c r="P13" s="33">
        <f>AVERAGE(K2:K37)</f>
        <v>5.03559390087831E-3</v>
      </c>
      <c r="Q13" s="34">
        <f>AVERAGE(K38:K73)</f>
        <v>5.6002593957900498E-3</v>
      </c>
      <c r="R13" s="36">
        <f t="shared" si="7"/>
        <v>5.6466549491173985E-4</v>
      </c>
    </row>
    <row r="14" spans="1:22">
      <c r="A14" s="4" t="s">
        <v>207</v>
      </c>
      <c r="B14">
        <v>137.19999999999999</v>
      </c>
      <c r="C14">
        <v>136.5</v>
      </c>
      <c r="D14">
        <v>135.6</v>
      </c>
      <c r="E14">
        <v>134.30000000000001</v>
      </c>
      <c r="F14">
        <v>121</v>
      </c>
      <c r="G14">
        <v>136.5</v>
      </c>
      <c r="H14" s="31">
        <f t="shared" si="1"/>
        <v>-2.9069767441860881E-3</v>
      </c>
      <c r="I14" s="31">
        <f t="shared" si="2"/>
        <v>-1.4630577907826529E-3</v>
      </c>
      <c r="J14" s="31">
        <f t="shared" si="3"/>
        <v>2.9585798816568472E-3</v>
      </c>
      <c r="K14" s="31">
        <f t="shared" si="4"/>
        <v>3.7369207772795215E-3</v>
      </c>
      <c r="L14" s="31">
        <f t="shared" si="5"/>
        <v>6.6555740432612072E-3</v>
      </c>
      <c r="M14" s="22">
        <f t="shared" si="6"/>
        <v>7.3313782991198172E-4</v>
      </c>
    </row>
    <row r="15" spans="1:22">
      <c r="A15" s="4" t="s">
        <v>208</v>
      </c>
      <c r="B15">
        <v>137.5</v>
      </c>
      <c r="C15">
        <v>136.5</v>
      </c>
      <c r="D15">
        <v>136.6</v>
      </c>
      <c r="E15">
        <v>135.19999999999999</v>
      </c>
      <c r="F15">
        <v>121.9</v>
      </c>
      <c r="G15">
        <v>137.1</v>
      </c>
      <c r="H15" s="31">
        <f t="shared" si="1"/>
        <v>2.1865889212828817E-3</v>
      </c>
      <c r="I15" s="31">
        <f t="shared" si="2"/>
        <v>0</v>
      </c>
      <c r="J15" s="31">
        <f t="shared" si="3"/>
        <v>7.3746312684365781E-3</v>
      </c>
      <c r="K15" s="31">
        <f t="shared" si="4"/>
        <v>6.7014147431122646E-3</v>
      </c>
      <c r="L15" s="31">
        <f t="shared" si="5"/>
        <v>7.4380165289256667E-3</v>
      </c>
      <c r="M15" s="22">
        <f t="shared" si="6"/>
        <v>4.395604395604354E-3</v>
      </c>
    </row>
    <row r="16" spans="1:22" ht="15" thickBot="1">
      <c r="A16" s="4" t="s">
        <v>209</v>
      </c>
      <c r="B16">
        <v>138.1</v>
      </c>
      <c r="C16">
        <v>136.9</v>
      </c>
      <c r="D16">
        <v>137.4</v>
      </c>
      <c r="E16">
        <v>136</v>
      </c>
      <c r="F16">
        <v>122.9</v>
      </c>
      <c r="G16">
        <v>137.80000000000001</v>
      </c>
      <c r="H16" s="31">
        <f t="shared" si="1"/>
        <v>4.3636363636363222E-3</v>
      </c>
      <c r="I16" s="31">
        <f t="shared" si="2"/>
        <v>2.930402930402972E-3</v>
      </c>
      <c r="J16" s="31">
        <f t="shared" si="3"/>
        <v>5.8565153733529385E-3</v>
      </c>
      <c r="K16" s="31">
        <f t="shared" si="4"/>
        <v>5.9171597633136943E-3</v>
      </c>
      <c r="L16" s="31">
        <f t="shared" si="5"/>
        <v>8.2034454470877767E-3</v>
      </c>
      <c r="M16" s="22">
        <f t="shared" si="6"/>
        <v>5.105762217359716E-3</v>
      </c>
    </row>
    <row r="17" spans="1:17" ht="22.3" customHeight="1" thickBot="1">
      <c r="A17" s="4" t="s">
        <v>210</v>
      </c>
      <c r="B17">
        <v>139.4</v>
      </c>
      <c r="C17">
        <v>138.1</v>
      </c>
      <c r="D17">
        <v>137.9</v>
      </c>
      <c r="E17">
        <v>136.19999999999999</v>
      </c>
      <c r="F17">
        <v>123.7</v>
      </c>
      <c r="G17">
        <v>138.5</v>
      </c>
      <c r="H17" s="31">
        <f t="shared" si="1"/>
        <v>9.4134685010862518E-3</v>
      </c>
      <c r="I17" s="31">
        <f t="shared" si="2"/>
        <v>8.765522279035709E-3</v>
      </c>
      <c r="J17" s="31">
        <f t="shared" si="3"/>
        <v>3.6390101892285298E-3</v>
      </c>
      <c r="K17" s="31">
        <f t="shared" si="4"/>
        <v>1.4705882352940341E-3</v>
      </c>
      <c r="L17" s="31">
        <f t="shared" si="5"/>
        <v>6.50935720097638E-3</v>
      </c>
      <c r="M17" s="22">
        <f t="shared" si="6"/>
        <v>5.0798258345427331E-3</v>
      </c>
      <c r="O17" s="81" t="s">
        <v>301</v>
      </c>
      <c r="P17" s="82"/>
      <c r="Q17" s="83"/>
    </row>
    <row r="18" spans="1:17" ht="19.3" customHeight="1">
      <c r="A18" s="4" t="s">
        <v>211</v>
      </c>
      <c r="B18">
        <v>141.4</v>
      </c>
      <c r="C18">
        <v>139.69999999999999</v>
      </c>
      <c r="D18">
        <v>138.6</v>
      </c>
      <c r="E18">
        <v>137</v>
      </c>
      <c r="F18">
        <v>123.6</v>
      </c>
      <c r="G18">
        <v>139.80000000000001</v>
      </c>
      <c r="H18" s="31">
        <f t="shared" si="1"/>
        <v>1.4347202295552367E-2</v>
      </c>
      <c r="I18" s="31">
        <f t="shared" si="2"/>
        <v>1.1585807385952168E-2</v>
      </c>
      <c r="J18" s="31">
        <f t="shared" si="3"/>
        <v>5.0761421319796126E-3</v>
      </c>
      <c r="K18" s="31">
        <f t="shared" si="4"/>
        <v>5.8737151248165302E-3</v>
      </c>
      <c r="L18" s="31">
        <f t="shared" si="5"/>
        <v>-8.0840743734849252E-4</v>
      </c>
      <c r="M18" s="22">
        <f t="shared" si="6"/>
        <v>9.3862815884477348E-3</v>
      </c>
      <c r="O18" s="110" t="s">
        <v>306</v>
      </c>
      <c r="P18" s="111"/>
      <c r="Q18" s="112"/>
    </row>
    <row r="19" spans="1:17" ht="15" thickBot="1">
      <c r="A19" s="4" t="s">
        <v>212</v>
      </c>
      <c r="B19">
        <v>141.69999999999999</v>
      </c>
      <c r="C19">
        <v>140.9</v>
      </c>
      <c r="D19">
        <v>139.4</v>
      </c>
      <c r="E19">
        <v>137.69999999999999</v>
      </c>
      <c r="F19">
        <v>124.3</v>
      </c>
      <c r="G19">
        <v>140.4</v>
      </c>
      <c r="H19" s="31">
        <f t="shared" si="1"/>
        <v>2.121640735502001E-3</v>
      </c>
      <c r="I19" s="31">
        <f t="shared" si="2"/>
        <v>8.5898353614890267E-3</v>
      </c>
      <c r="J19" s="31">
        <f t="shared" si="3"/>
        <v>5.7720057720058544E-3</v>
      </c>
      <c r="K19" s="31">
        <f t="shared" si="4"/>
        <v>5.1094890510948072E-3</v>
      </c>
      <c r="L19" s="31">
        <f t="shared" si="5"/>
        <v>5.663430420711997E-3</v>
      </c>
      <c r="M19" s="22">
        <f t="shared" si="6"/>
        <v>4.291845493562191E-3</v>
      </c>
      <c r="O19" s="113"/>
      <c r="P19" s="114"/>
      <c r="Q19" s="115"/>
    </row>
    <row r="20" spans="1:17" ht="21" customHeight="1">
      <c r="A20" s="4" t="s">
        <v>213</v>
      </c>
      <c r="B20">
        <v>140.4</v>
      </c>
      <c r="C20">
        <v>142.30000000000001</v>
      </c>
      <c r="D20">
        <v>139.69999999999999</v>
      </c>
      <c r="E20">
        <v>138.4</v>
      </c>
      <c r="F20">
        <v>126</v>
      </c>
      <c r="G20">
        <v>140.19999999999999</v>
      </c>
      <c r="H20" s="31">
        <f t="shared" si="1"/>
        <v>-9.1743119266053854E-3</v>
      </c>
      <c r="I20" s="31">
        <f t="shared" si="2"/>
        <v>9.9361249112846391E-3</v>
      </c>
      <c r="J20" s="31">
        <f t="shared" si="3"/>
        <v>2.1520803443327327E-3</v>
      </c>
      <c r="K20" s="31">
        <f t="shared" si="4"/>
        <v>5.0835148874365807E-3</v>
      </c>
      <c r="L20" s="31">
        <f t="shared" si="5"/>
        <v>1.3676588897827859E-2</v>
      </c>
      <c r="M20" s="22">
        <f t="shared" si="6"/>
        <v>-1.424501424501546E-3</v>
      </c>
      <c r="O20" s="94" t="s">
        <v>421</v>
      </c>
      <c r="P20" s="94"/>
      <c r="Q20" s="94"/>
    </row>
    <row r="21" spans="1:17" ht="14.25" customHeight="1" thickBot="1">
      <c r="A21" s="4" t="s">
        <v>214</v>
      </c>
      <c r="B21">
        <v>139.69999999999999</v>
      </c>
      <c r="C21">
        <v>145.30000000000001</v>
      </c>
      <c r="D21">
        <v>142.19999999999999</v>
      </c>
      <c r="E21">
        <v>142.1</v>
      </c>
      <c r="F21">
        <v>125.5</v>
      </c>
      <c r="G21">
        <v>140.80000000000001</v>
      </c>
      <c r="H21" s="31">
        <f t="shared" si="1"/>
        <v>-4.9857549857551071E-3</v>
      </c>
      <c r="I21" s="31">
        <f t="shared" si="2"/>
        <v>2.1082220660576245E-2</v>
      </c>
      <c r="J21" s="31">
        <f t="shared" si="3"/>
        <v>1.789549033643522E-2</v>
      </c>
      <c r="K21" s="31">
        <f t="shared" si="4"/>
        <v>2.6734104046242692E-2</v>
      </c>
      <c r="L21" s="31">
        <f t="shared" si="5"/>
        <v>-3.968253968253968E-3</v>
      </c>
      <c r="M21" s="22">
        <f t="shared" si="6"/>
        <v>4.2796005706135717E-3</v>
      </c>
      <c r="O21" s="71"/>
      <c r="P21" s="71"/>
      <c r="Q21" s="71"/>
    </row>
    <row r="22" spans="1:17">
      <c r="A22" s="4" t="s">
        <v>215</v>
      </c>
      <c r="B22">
        <v>139.69999999999999</v>
      </c>
      <c r="C22">
        <v>145.1</v>
      </c>
      <c r="D22">
        <v>142.19999999999999</v>
      </c>
      <c r="E22">
        <v>142.1</v>
      </c>
      <c r="F22">
        <v>125.5</v>
      </c>
      <c r="G22">
        <v>140.80000000000001</v>
      </c>
      <c r="H22" s="31">
        <f t="shared" si="1"/>
        <v>0</v>
      </c>
      <c r="I22" s="31">
        <f t="shared" si="2"/>
        <v>-1.3764624913972267E-3</v>
      </c>
      <c r="J22" s="31">
        <f t="shared" si="3"/>
        <v>0</v>
      </c>
      <c r="K22" s="31">
        <f t="shared" si="4"/>
        <v>0</v>
      </c>
      <c r="L22" s="31">
        <f t="shared" si="5"/>
        <v>0</v>
      </c>
      <c r="M22" s="22">
        <f t="shared" si="6"/>
        <v>0</v>
      </c>
      <c r="O22" s="110" t="s">
        <v>307</v>
      </c>
      <c r="P22" s="111"/>
      <c r="Q22" s="112"/>
    </row>
    <row r="23" spans="1:17" ht="15" thickBot="1">
      <c r="A23" s="4" t="s">
        <v>216</v>
      </c>
      <c r="B23">
        <v>138.19999999999999</v>
      </c>
      <c r="C23">
        <v>142.69999999999999</v>
      </c>
      <c r="D23">
        <v>143.19999999999999</v>
      </c>
      <c r="E23">
        <v>144.9</v>
      </c>
      <c r="F23">
        <v>123.6</v>
      </c>
      <c r="G23">
        <v>140.1</v>
      </c>
      <c r="H23" s="31">
        <f t="shared" si="1"/>
        <v>-1.0737294201861132E-2</v>
      </c>
      <c r="I23" s="31">
        <f t="shared" si="2"/>
        <v>-1.6540317022742976E-2</v>
      </c>
      <c r="J23" s="31">
        <f t="shared" si="3"/>
        <v>7.0323488045007038E-3</v>
      </c>
      <c r="K23" s="31">
        <f t="shared" si="4"/>
        <v>1.9704433497537026E-2</v>
      </c>
      <c r="L23" s="31">
        <f t="shared" si="5"/>
        <v>-1.5139442231075743E-2</v>
      </c>
      <c r="M23" s="22">
        <f t="shared" si="6"/>
        <v>-4.9715909090910296E-3</v>
      </c>
      <c r="O23" s="113"/>
      <c r="P23" s="114"/>
      <c r="Q23" s="115"/>
    </row>
    <row r="24" spans="1:17" ht="14.25" customHeight="1">
      <c r="A24" s="4" t="s">
        <v>217</v>
      </c>
      <c r="B24">
        <v>137.4</v>
      </c>
      <c r="C24">
        <v>139.5</v>
      </c>
      <c r="D24">
        <v>143.6</v>
      </c>
      <c r="E24">
        <v>145.1</v>
      </c>
      <c r="F24">
        <v>123.3</v>
      </c>
      <c r="G24">
        <v>139.6</v>
      </c>
      <c r="H24" s="31">
        <f t="shared" si="1"/>
        <v>-5.7887120115773013E-3</v>
      </c>
      <c r="I24" s="31">
        <f t="shared" si="2"/>
        <v>-2.2424667133847154E-2</v>
      </c>
      <c r="J24" s="31">
        <f t="shared" si="3"/>
        <v>2.7932960893855148E-3</v>
      </c>
      <c r="K24" s="31">
        <f t="shared" si="4"/>
        <v>1.3802622498273887E-3</v>
      </c>
      <c r="L24" s="31">
        <f t="shared" si="5"/>
        <v>-2.4271844660193947E-3</v>
      </c>
      <c r="M24" s="22">
        <f t="shared" si="6"/>
        <v>-3.5688793718772309E-3</v>
      </c>
      <c r="O24" s="94" t="s">
        <v>422</v>
      </c>
      <c r="P24" s="94"/>
      <c r="Q24" s="94"/>
    </row>
    <row r="25" spans="1:17">
      <c r="A25" s="4" t="s">
        <v>218</v>
      </c>
      <c r="B25">
        <v>137.5</v>
      </c>
      <c r="C25">
        <v>138.4</v>
      </c>
      <c r="D25">
        <v>143.69999999999999</v>
      </c>
      <c r="E25">
        <v>145.6</v>
      </c>
      <c r="F25">
        <v>123.9</v>
      </c>
      <c r="G25">
        <v>139.9</v>
      </c>
      <c r="H25" s="31">
        <f t="shared" si="1"/>
        <v>7.2780203784566459E-4</v>
      </c>
      <c r="I25" s="31">
        <f t="shared" si="2"/>
        <v>-7.8853046594981671E-3</v>
      </c>
      <c r="J25" s="31">
        <f t="shared" si="3"/>
        <v>6.9637883008352589E-4</v>
      </c>
      <c r="K25" s="31">
        <f t="shared" si="4"/>
        <v>3.4458993797381117E-3</v>
      </c>
      <c r="L25" s="31">
        <f t="shared" si="5"/>
        <v>4.86618004866187E-3</v>
      </c>
      <c r="M25" s="22">
        <f t="shared" si="6"/>
        <v>2.1489971346705687E-3</v>
      </c>
      <c r="O25" s="95"/>
      <c r="P25" s="95"/>
      <c r="Q25" s="95"/>
    </row>
    <row r="26" spans="1:17" ht="14.25" customHeight="1">
      <c r="A26" s="4" t="s">
        <v>219</v>
      </c>
      <c r="B26">
        <v>138.1</v>
      </c>
      <c r="C26">
        <v>139.69999999999999</v>
      </c>
      <c r="D26">
        <v>143.80000000000001</v>
      </c>
      <c r="E26">
        <v>146.19999999999999</v>
      </c>
      <c r="F26">
        <v>124.6</v>
      </c>
      <c r="G26">
        <v>140.4</v>
      </c>
      <c r="H26" s="31">
        <f t="shared" si="1"/>
        <v>4.3636363636363222E-3</v>
      </c>
      <c r="I26" s="31">
        <f t="shared" si="2"/>
        <v>9.3930635838149045E-3</v>
      </c>
      <c r="J26" s="31">
        <f t="shared" si="3"/>
        <v>6.9589422407809849E-4</v>
      </c>
      <c r="K26" s="31">
        <f t="shared" si="4"/>
        <v>4.120879120879082E-3</v>
      </c>
      <c r="L26" s="31">
        <f t="shared" si="5"/>
        <v>5.6497175141242018E-3</v>
      </c>
      <c r="M26" s="22">
        <f t="shared" si="6"/>
        <v>3.5739814152966403E-3</v>
      </c>
      <c r="O26" s="95"/>
      <c r="P26" s="95"/>
      <c r="Q26" s="95"/>
    </row>
    <row r="27" spans="1:17" ht="15" thickBot="1">
      <c r="A27" s="4" t="s">
        <v>220</v>
      </c>
      <c r="B27">
        <v>140.9</v>
      </c>
      <c r="C27">
        <v>140.30000000000001</v>
      </c>
      <c r="D27">
        <v>143.69999999999999</v>
      </c>
      <c r="E27">
        <v>146.9</v>
      </c>
      <c r="F27">
        <v>124.9</v>
      </c>
      <c r="G27">
        <v>142</v>
      </c>
      <c r="H27" s="31">
        <f t="shared" si="1"/>
        <v>2.0275162925416448E-2</v>
      </c>
      <c r="I27" s="31">
        <f t="shared" si="2"/>
        <v>4.2949176807446157E-3</v>
      </c>
      <c r="J27" s="31">
        <f t="shared" si="3"/>
        <v>-6.9541029207248071E-4</v>
      </c>
      <c r="K27" s="31">
        <f t="shared" si="4"/>
        <v>4.7879616963065466E-3</v>
      </c>
      <c r="L27" s="31">
        <f t="shared" si="5"/>
        <v>2.4077046548957575E-3</v>
      </c>
      <c r="M27" s="22">
        <f t="shared" si="6"/>
        <v>1.1396011396011355E-2</v>
      </c>
    </row>
    <row r="28" spans="1:17">
      <c r="A28" s="4" t="s">
        <v>221</v>
      </c>
      <c r="B28">
        <v>142.69999999999999</v>
      </c>
      <c r="C28">
        <v>141.19999999999999</v>
      </c>
      <c r="D28">
        <v>143.80000000000001</v>
      </c>
      <c r="E28">
        <v>147.4</v>
      </c>
      <c r="F28">
        <v>124.6</v>
      </c>
      <c r="G28">
        <v>142.9</v>
      </c>
      <c r="H28" s="31">
        <f t="shared" si="1"/>
        <v>1.2775017743080078E-2</v>
      </c>
      <c r="I28" s="31">
        <f t="shared" si="2"/>
        <v>6.4148253741979841E-3</v>
      </c>
      <c r="J28" s="31">
        <f t="shared" si="3"/>
        <v>6.9589422407809849E-4</v>
      </c>
      <c r="K28" s="31">
        <f t="shared" si="4"/>
        <v>3.4036759700476512E-3</v>
      </c>
      <c r="L28" s="31">
        <f t="shared" si="5"/>
        <v>-2.4019215372298747E-3</v>
      </c>
      <c r="M28" s="22">
        <f t="shared" si="6"/>
        <v>6.3380281690141246E-3</v>
      </c>
      <c r="O28" s="110" t="s">
        <v>308</v>
      </c>
      <c r="P28" s="111"/>
      <c r="Q28" s="112"/>
    </row>
    <row r="29" spans="1:17" ht="15" thickBot="1">
      <c r="A29" s="4" t="s">
        <v>222</v>
      </c>
      <c r="B29">
        <v>144.69999999999999</v>
      </c>
      <c r="C29">
        <v>139.30000000000001</v>
      </c>
      <c r="D29">
        <v>144.19999999999999</v>
      </c>
      <c r="E29">
        <v>147.9</v>
      </c>
      <c r="F29">
        <v>125.6</v>
      </c>
      <c r="G29">
        <v>144.19999999999999</v>
      </c>
      <c r="H29" s="31">
        <f t="shared" si="1"/>
        <v>1.4015416958654521E-2</v>
      </c>
      <c r="I29" s="31">
        <f t="shared" si="2"/>
        <v>-1.3456090651557914E-2</v>
      </c>
      <c r="J29" s="31">
        <f t="shared" si="3"/>
        <v>2.7816411682891323E-3</v>
      </c>
      <c r="K29" s="31">
        <f t="shared" si="4"/>
        <v>3.3921302578018993E-3</v>
      </c>
      <c r="L29" s="31">
        <f t="shared" si="5"/>
        <v>8.0256821829855548E-3</v>
      </c>
      <c r="M29" s="22">
        <f t="shared" si="6"/>
        <v>9.0972708187542547E-3</v>
      </c>
      <c r="O29" s="113"/>
      <c r="P29" s="114"/>
      <c r="Q29" s="115"/>
    </row>
    <row r="30" spans="1:17" ht="14.25" customHeight="1">
      <c r="A30" s="4" t="s">
        <v>223</v>
      </c>
      <c r="B30">
        <v>145.9</v>
      </c>
      <c r="C30">
        <v>138.5</v>
      </c>
      <c r="D30">
        <v>144.5</v>
      </c>
      <c r="E30">
        <v>148.5</v>
      </c>
      <c r="F30">
        <v>125.8</v>
      </c>
      <c r="G30">
        <v>145</v>
      </c>
      <c r="H30" s="31">
        <f t="shared" si="1"/>
        <v>8.2930200414652183E-3</v>
      </c>
      <c r="I30" s="31">
        <f t="shared" si="2"/>
        <v>-5.7430007178751706E-3</v>
      </c>
      <c r="J30" s="31">
        <f t="shared" si="3"/>
        <v>2.0804438280167224E-3</v>
      </c>
      <c r="K30" s="31">
        <f t="shared" si="4"/>
        <v>4.0567951318458036E-3</v>
      </c>
      <c r="L30" s="31">
        <f t="shared" si="5"/>
        <v>1.5923566878981118E-3</v>
      </c>
      <c r="M30" s="22">
        <f t="shared" si="6"/>
        <v>5.5478502080444619E-3</v>
      </c>
      <c r="O30" s="95" t="s">
        <v>423</v>
      </c>
      <c r="P30" s="95"/>
      <c r="Q30" s="95"/>
    </row>
    <row r="31" spans="1:17">
      <c r="A31" s="4" t="s">
        <v>224</v>
      </c>
      <c r="B31">
        <v>147</v>
      </c>
      <c r="C31">
        <v>139.19999999999999</v>
      </c>
      <c r="D31">
        <v>144.6</v>
      </c>
      <c r="E31">
        <v>149</v>
      </c>
      <c r="F31">
        <v>126.1</v>
      </c>
      <c r="G31">
        <v>145.80000000000001</v>
      </c>
      <c r="H31" s="31">
        <f t="shared" si="1"/>
        <v>7.5394105551747376E-3</v>
      </c>
      <c r="I31" s="31">
        <f t="shared" si="2"/>
        <v>5.0541516245486548E-3</v>
      </c>
      <c r="J31" s="31">
        <f t="shared" si="3"/>
        <v>6.920415224913101E-4</v>
      </c>
      <c r="K31" s="31">
        <f t="shared" si="4"/>
        <v>3.3670033670033669E-3</v>
      </c>
      <c r="L31" s="31">
        <f t="shared" si="5"/>
        <v>2.3847376788553032E-3</v>
      </c>
      <c r="M31" s="22">
        <f t="shared" si="6"/>
        <v>5.5172413793104233E-3</v>
      </c>
      <c r="O31" s="95"/>
      <c r="P31" s="95"/>
      <c r="Q31" s="95"/>
    </row>
    <row r="32" spans="1:17">
      <c r="A32" s="4" t="s">
        <v>225</v>
      </c>
      <c r="B32">
        <v>149.6</v>
      </c>
      <c r="C32">
        <v>140.6</v>
      </c>
      <c r="D32">
        <v>145</v>
      </c>
      <c r="E32">
        <v>149.4</v>
      </c>
      <c r="F32">
        <v>126.3</v>
      </c>
      <c r="G32">
        <v>147.19999999999999</v>
      </c>
      <c r="H32" s="31">
        <f t="shared" si="1"/>
        <v>1.7687074829931933E-2</v>
      </c>
      <c r="I32" s="31">
        <f t="shared" si="2"/>
        <v>1.0057471264367858E-2</v>
      </c>
      <c r="J32" s="31">
        <f t="shared" si="3"/>
        <v>2.7662517289073702E-3</v>
      </c>
      <c r="K32" s="31">
        <f t="shared" si="4"/>
        <v>2.6845637583892998E-3</v>
      </c>
      <c r="L32" s="31">
        <f t="shared" si="5"/>
        <v>1.5860428231562478E-3</v>
      </c>
      <c r="M32" s="22">
        <f t="shared" si="6"/>
        <v>9.6021947873798155E-3</v>
      </c>
      <c r="O32" s="95"/>
      <c r="P32" s="95"/>
      <c r="Q32" s="95"/>
    </row>
    <row r="33" spans="1:13">
      <c r="A33" s="4" t="s">
        <v>226</v>
      </c>
      <c r="B33">
        <v>151.9</v>
      </c>
      <c r="C33">
        <v>142.30000000000001</v>
      </c>
      <c r="D33">
        <v>145.30000000000001</v>
      </c>
      <c r="E33">
        <v>149.9</v>
      </c>
      <c r="F33">
        <v>126.6</v>
      </c>
      <c r="G33">
        <v>148.6</v>
      </c>
      <c r="H33" s="31">
        <f t="shared" si="1"/>
        <v>1.5374331550802216E-2</v>
      </c>
      <c r="I33" s="31">
        <f t="shared" si="2"/>
        <v>1.2091038406828002E-2</v>
      </c>
      <c r="J33" s="31">
        <f t="shared" si="3"/>
        <v>2.0689655172414579E-3</v>
      </c>
      <c r="K33" s="31">
        <f t="shared" si="4"/>
        <v>3.3467202141900937E-3</v>
      </c>
      <c r="L33" s="31">
        <f t="shared" si="5"/>
        <v>2.3752969121139918E-3</v>
      </c>
      <c r="M33" s="22">
        <f t="shared" si="6"/>
        <v>9.5108695652174301E-3</v>
      </c>
    </row>
    <row r="34" spans="1:13">
      <c r="A34" s="4" t="s">
        <v>227</v>
      </c>
      <c r="B34">
        <v>155</v>
      </c>
      <c r="C34">
        <v>143.69999999999999</v>
      </c>
      <c r="D34">
        <v>145.80000000000001</v>
      </c>
      <c r="E34">
        <v>150.4</v>
      </c>
      <c r="F34">
        <v>129.80000000000001</v>
      </c>
      <c r="G34">
        <v>150.4</v>
      </c>
      <c r="H34" s="31">
        <f t="shared" si="1"/>
        <v>2.0408163265306083E-2</v>
      </c>
      <c r="I34" s="31">
        <f t="shared" si="2"/>
        <v>9.8383696416020888E-3</v>
      </c>
      <c r="J34" s="31">
        <f t="shared" si="3"/>
        <v>3.4411562284927732E-3</v>
      </c>
      <c r="K34" s="31">
        <f t="shared" si="4"/>
        <v>3.3355570380253501E-3</v>
      </c>
      <c r="L34" s="31">
        <f t="shared" si="5"/>
        <v>2.5276461295418776E-2</v>
      </c>
      <c r="M34" s="22">
        <f t="shared" si="6"/>
        <v>1.2113055181695904E-2</v>
      </c>
    </row>
    <row r="35" spans="1:13">
      <c r="A35" s="4" t="s">
        <v>228</v>
      </c>
      <c r="B35">
        <v>153.5</v>
      </c>
      <c r="C35">
        <v>144.6</v>
      </c>
      <c r="D35">
        <v>146.19999999999999</v>
      </c>
      <c r="E35">
        <v>151.19999999999999</v>
      </c>
      <c r="F35">
        <v>130.9</v>
      </c>
      <c r="G35">
        <v>150.19999999999999</v>
      </c>
      <c r="H35" s="31">
        <f t="shared" si="1"/>
        <v>-9.6774193548387101E-3</v>
      </c>
      <c r="I35" s="31">
        <f t="shared" si="2"/>
        <v>6.2630480167015015E-3</v>
      </c>
      <c r="J35" s="31">
        <f t="shared" si="3"/>
        <v>2.7434842249655501E-3</v>
      </c>
      <c r="K35" s="31">
        <f t="shared" si="4"/>
        <v>5.319148936170099E-3</v>
      </c>
      <c r="L35" s="31">
        <f t="shared" si="5"/>
        <v>8.4745762711863955E-3</v>
      </c>
      <c r="M35" s="22">
        <f t="shared" si="6"/>
        <v>-1.3297872340426666E-3</v>
      </c>
    </row>
    <row r="36" spans="1:13">
      <c r="A36" s="4" t="s">
        <v>229</v>
      </c>
      <c r="B36">
        <v>150.5</v>
      </c>
      <c r="C36">
        <v>147.19999999999999</v>
      </c>
      <c r="D36">
        <v>146.4</v>
      </c>
      <c r="E36">
        <v>151.69999999999999</v>
      </c>
      <c r="F36">
        <v>130.30000000000001</v>
      </c>
      <c r="G36">
        <v>149.1</v>
      </c>
      <c r="H36" s="31">
        <f t="shared" si="1"/>
        <v>-1.9543973941368076E-2</v>
      </c>
      <c r="I36" s="31">
        <f t="shared" si="2"/>
        <v>1.7980636237897609E-2</v>
      </c>
      <c r="J36" s="31">
        <f t="shared" si="3"/>
        <v>1.3679890560876679E-3</v>
      </c>
      <c r="K36" s="31">
        <f t="shared" si="4"/>
        <v>3.3068783068783071E-3</v>
      </c>
      <c r="L36" s="31">
        <f t="shared" si="5"/>
        <v>-4.583651642475128E-3</v>
      </c>
      <c r="M36" s="22">
        <f t="shared" si="6"/>
        <v>-7.3235685752329853E-3</v>
      </c>
    </row>
    <row r="37" spans="1:13">
      <c r="A37" s="4" t="s">
        <v>230</v>
      </c>
      <c r="B37">
        <v>148.9</v>
      </c>
      <c r="C37">
        <v>148.9</v>
      </c>
      <c r="D37">
        <v>146.4</v>
      </c>
      <c r="E37">
        <v>152.30000000000001</v>
      </c>
      <c r="F37">
        <v>129.9</v>
      </c>
      <c r="G37">
        <v>148.6</v>
      </c>
      <c r="H37" s="40">
        <f t="shared" si="1"/>
        <v>-1.0631229235880361E-2</v>
      </c>
      <c r="I37" s="40">
        <f t="shared" si="2"/>
        <v>1.1548913043478378E-2</v>
      </c>
      <c r="J37" s="40">
        <f t="shared" si="3"/>
        <v>0</v>
      </c>
      <c r="K37" s="40">
        <f t="shared" si="4"/>
        <v>3.9551746868821541E-3</v>
      </c>
      <c r="L37" s="40">
        <f t="shared" si="5"/>
        <v>-3.0698388334612866E-3</v>
      </c>
      <c r="M37" s="41">
        <f t="shared" si="6"/>
        <v>-3.3534540576794099E-3</v>
      </c>
    </row>
    <row r="38" spans="1:13">
      <c r="A38" s="4" t="s">
        <v>231</v>
      </c>
      <c r="B38">
        <v>151.4</v>
      </c>
      <c r="C38">
        <v>144.1</v>
      </c>
      <c r="D38">
        <v>136.68</v>
      </c>
      <c r="E38">
        <v>150.69999999999999</v>
      </c>
      <c r="F38">
        <v>127.17</v>
      </c>
      <c r="G38">
        <v>139.56</v>
      </c>
      <c r="H38" s="40">
        <f t="shared" si="1"/>
        <v>1.6789791806581598E-2</v>
      </c>
      <c r="I38" s="40">
        <f t="shared" si="2"/>
        <v>-3.2236400268636743E-2</v>
      </c>
      <c r="J38" s="40">
        <f t="shared" si="3"/>
        <v>-6.6393442622950813E-2</v>
      </c>
      <c r="K38" s="40">
        <f t="shared" si="4"/>
        <v>-1.0505581089954186E-2</v>
      </c>
      <c r="L38" s="40">
        <f t="shared" si="5"/>
        <v>-2.1016166281755226E-2</v>
      </c>
      <c r="M38" s="41">
        <f t="shared" si="6"/>
        <v>-6.0834454912516774E-2</v>
      </c>
    </row>
    <row r="39" spans="1:13">
      <c r="A39" s="4" t="s">
        <v>232</v>
      </c>
      <c r="B39">
        <v>145.51</v>
      </c>
      <c r="C39">
        <v>136.51</v>
      </c>
      <c r="D39">
        <v>136.68</v>
      </c>
      <c r="E39">
        <v>138.51</v>
      </c>
      <c r="F39">
        <v>127.17</v>
      </c>
      <c r="G39">
        <v>139.56</v>
      </c>
      <c r="H39" s="31">
        <f t="shared" si="1"/>
        <v>-3.8903566710700228E-2</v>
      </c>
      <c r="I39" s="31">
        <f t="shared" si="2"/>
        <v>-5.2671755725190866E-2</v>
      </c>
      <c r="J39" s="31">
        <f t="shared" si="3"/>
        <v>0</v>
      </c>
      <c r="K39" s="31">
        <f t="shared" si="4"/>
        <v>-8.0889183808891832E-2</v>
      </c>
      <c r="L39" s="31">
        <f t="shared" si="5"/>
        <v>0</v>
      </c>
      <c r="M39" s="22">
        <f t="shared" si="6"/>
        <v>0</v>
      </c>
    </row>
    <row r="40" spans="1:13">
      <c r="A40" s="4" t="s">
        <v>233</v>
      </c>
      <c r="B40">
        <v>154</v>
      </c>
      <c r="C40">
        <v>141.9</v>
      </c>
      <c r="D40">
        <v>146.4</v>
      </c>
      <c r="E40">
        <v>154.4</v>
      </c>
      <c r="F40">
        <v>135</v>
      </c>
      <c r="G40">
        <v>151.80000000000001</v>
      </c>
      <c r="H40" s="31">
        <f t="shared" si="1"/>
        <v>5.8346505394818289E-2</v>
      </c>
      <c r="I40" s="31">
        <f t="shared" si="2"/>
        <v>3.9484286865431213E-2</v>
      </c>
      <c r="J40" s="31">
        <f t="shared" si="3"/>
        <v>7.1115013169446878E-2</v>
      </c>
      <c r="K40" s="31">
        <f t="shared" si="4"/>
        <v>0.11472095877553978</v>
      </c>
      <c r="L40" s="31">
        <f t="shared" si="5"/>
        <v>6.1571125265392768E-2</v>
      </c>
      <c r="M40" s="22">
        <f t="shared" si="6"/>
        <v>8.7704213241616577E-2</v>
      </c>
    </row>
    <row r="41" spans="1:13">
      <c r="A41" s="4" t="s">
        <v>234</v>
      </c>
      <c r="B41">
        <v>154</v>
      </c>
      <c r="C41">
        <v>141.9</v>
      </c>
      <c r="D41">
        <v>146.4</v>
      </c>
      <c r="E41">
        <v>154.4</v>
      </c>
      <c r="F41">
        <v>135</v>
      </c>
      <c r="G41">
        <v>151.80000000000001</v>
      </c>
      <c r="H41" s="31">
        <f t="shared" si="1"/>
        <v>0</v>
      </c>
      <c r="I41" s="31">
        <f t="shared" si="2"/>
        <v>0</v>
      </c>
      <c r="J41" s="31">
        <f t="shared" si="3"/>
        <v>0</v>
      </c>
      <c r="K41" s="31">
        <f t="shared" si="4"/>
        <v>0</v>
      </c>
      <c r="L41" s="31">
        <f t="shared" si="5"/>
        <v>0</v>
      </c>
      <c r="M41" s="22">
        <f t="shared" si="6"/>
        <v>0</v>
      </c>
    </row>
    <row r="42" spans="1:13">
      <c r="A42" s="4" t="s">
        <v>235</v>
      </c>
      <c r="B42">
        <v>157</v>
      </c>
      <c r="C42">
        <v>143</v>
      </c>
      <c r="D42">
        <v>148.4</v>
      </c>
      <c r="E42">
        <v>155</v>
      </c>
      <c r="F42">
        <v>138.5</v>
      </c>
      <c r="G42">
        <v>153.9</v>
      </c>
      <c r="H42" s="31">
        <f t="shared" si="1"/>
        <v>1.948051948051948E-2</v>
      </c>
      <c r="I42" s="31">
        <f t="shared" si="2"/>
        <v>7.751937984496084E-3</v>
      </c>
      <c r="J42" s="31">
        <f t="shared" si="3"/>
        <v>1.3661202185792349E-2</v>
      </c>
      <c r="K42" s="31">
        <f t="shared" si="4"/>
        <v>3.8860103626942636E-3</v>
      </c>
      <c r="L42" s="31">
        <f t="shared" si="5"/>
        <v>2.5925925925925925E-2</v>
      </c>
      <c r="M42" s="22">
        <f t="shared" si="6"/>
        <v>1.3833992094861622E-2</v>
      </c>
    </row>
    <row r="43" spans="1:13">
      <c r="A43" s="4" t="s">
        <v>236</v>
      </c>
      <c r="B43">
        <v>158</v>
      </c>
      <c r="C43">
        <v>142.9</v>
      </c>
      <c r="D43">
        <v>148.69999999999999</v>
      </c>
      <c r="E43">
        <v>155.6</v>
      </c>
      <c r="F43">
        <v>139.6</v>
      </c>
      <c r="G43">
        <v>154.69999999999999</v>
      </c>
      <c r="H43" s="31">
        <f t="shared" si="1"/>
        <v>6.369426751592357E-3</v>
      </c>
      <c r="I43" s="31">
        <f t="shared" si="2"/>
        <v>-6.9930069930065951E-4</v>
      </c>
      <c r="J43" s="31">
        <f t="shared" si="3"/>
        <v>2.0215633423179445E-3</v>
      </c>
      <c r="K43" s="31">
        <f t="shared" si="4"/>
        <v>3.870967741935447E-3</v>
      </c>
      <c r="L43" s="31">
        <f t="shared" si="5"/>
        <v>7.9422382671479729E-3</v>
      </c>
      <c r="M43" s="22">
        <f t="shared" si="6"/>
        <v>5.1981806367770167E-3</v>
      </c>
    </row>
    <row r="44" spans="1:13">
      <c r="A44" s="4" t="s">
        <v>237</v>
      </c>
      <c r="B44">
        <v>161.4</v>
      </c>
      <c r="C44">
        <v>143.1</v>
      </c>
      <c r="D44">
        <v>148.69999999999999</v>
      </c>
      <c r="E44">
        <v>156.30000000000001</v>
      </c>
      <c r="F44">
        <v>140.6</v>
      </c>
      <c r="G44">
        <v>156.4</v>
      </c>
      <c r="H44" s="31">
        <f t="shared" si="1"/>
        <v>2.1518987341772187E-2</v>
      </c>
      <c r="I44" s="31">
        <f t="shared" si="2"/>
        <v>1.3995801259621317E-3</v>
      </c>
      <c r="J44" s="31">
        <f t="shared" si="3"/>
        <v>0</v>
      </c>
      <c r="K44" s="31">
        <f t="shared" si="4"/>
        <v>4.4987146529564077E-3</v>
      </c>
      <c r="L44" s="31">
        <f t="shared" si="5"/>
        <v>7.1633237822349575E-3</v>
      </c>
      <c r="M44" s="22">
        <f t="shared" si="6"/>
        <v>1.0989010989011101E-2</v>
      </c>
    </row>
    <row r="45" spans="1:13">
      <c r="A45" s="4" t="s">
        <v>238</v>
      </c>
      <c r="B45">
        <v>164.7</v>
      </c>
      <c r="C45">
        <v>143.6</v>
      </c>
      <c r="D45">
        <v>149.19999999999999</v>
      </c>
      <c r="E45">
        <v>157.19999999999999</v>
      </c>
      <c r="F45">
        <v>140.4</v>
      </c>
      <c r="G45">
        <v>158.4</v>
      </c>
      <c r="H45" s="31">
        <f t="shared" si="1"/>
        <v>2.0446096654274985E-2</v>
      </c>
      <c r="I45" s="31">
        <f t="shared" si="2"/>
        <v>3.4940600978336828E-3</v>
      </c>
      <c r="J45" s="31">
        <f t="shared" si="3"/>
        <v>3.3624747814391394E-3</v>
      </c>
      <c r="K45" s="31">
        <f t="shared" si="4"/>
        <v>5.7581573896351712E-3</v>
      </c>
      <c r="L45" s="31">
        <f t="shared" si="5"/>
        <v>-1.4224751066855522E-3</v>
      </c>
      <c r="M45" s="22">
        <f t="shared" si="6"/>
        <v>1.278772378516624E-2</v>
      </c>
    </row>
    <row r="46" spans="1:13">
      <c r="A46" s="4" t="s">
        <v>239</v>
      </c>
      <c r="B46">
        <v>165.4</v>
      </c>
      <c r="C46">
        <v>144.6</v>
      </c>
      <c r="D46">
        <v>149.69999999999999</v>
      </c>
      <c r="E46">
        <v>158.30000000000001</v>
      </c>
      <c r="F46">
        <v>140.69999999999999</v>
      </c>
      <c r="G46">
        <v>158.9</v>
      </c>
      <c r="H46" s="31">
        <f t="shared" si="1"/>
        <v>4.2501517911355015E-3</v>
      </c>
      <c r="I46" s="31">
        <f t="shared" si="2"/>
        <v>6.9637883008356553E-3</v>
      </c>
      <c r="J46" s="31">
        <f t="shared" si="3"/>
        <v>3.351206434316354E-3</v>
      </c>
      <c r="K46" s="31">
        <f t="shared" si="4"/>
        <v>6.9974554707380584E-3</v>
      </c>
      <c r="L46" s="31">
        <f t="shared" si="5"/>
        <v>2.1367521367520151E-3</v>
      </c>
      <c r="M46" s="22">
        <f t="shared" si="6"/>
        <v>3.1565656565656565E-3</v>
      </c>
    </row>
    <row r="47" spans="1:13">
      <c r="A47" s="4" t="s">
        <v>240</v>
      </c>
      <c r="B47">
        <v>161</v>
      </c>
      <c r="C47">
        <v>147.9</v>
      </c>
      <c r="D47">
        <v>150</v>
      </c>
      <c r="E47">
        <v>159.30000000000001</v>
      </c>
      <c r="F47">
        <v>141.9</v>
      </c>
      <c r="G47">
        <v>157.30000000000001</v>
      </c>
      <c r="H47" s="31">
        <f t="shared" si="1"/>
        <v>-2.6602176541717083E-2</v>
      </c>
      <c r="I47" s="31">
        <f t="shared" si="2"/>
        <v>2.2821576763485556E-2</v>
      </c>
      <c r="J47" s="31">
        <f t="shared" si="3"/>
        <v>2.0040080160321403E-3</v>
      </c>
      <c r="K47" s="31">
        <f t="shared" si="4"/>
        <v>6.3171193935565376E-3</v>
      </c>
      <c r="L47" s="31">
        <f t="shared" si="5"/>
        <v>8.5287846481877545E-3</v>
      </c>
      <c r="M47" s="22">
        <f t="shared" si="6"/>
        <v>-1.006922592825673E-2</v>
      </c>
    </row>
    <row r="48" spans="1:13">
      <c r="A48" s="4" t="s">
        <v>241</v>
      </c>
      <c r="B48">
        <v>156.9</v>
      </c>
      <c r="C48">
        <v>152.4</v>
      </c>
      <c r="D48">
        <v>150.9</v>
      </c>
      <c r="E48">
        <v>161.30000000000001</v>
      </c>
      <c r="F48">
        <v>145.1</v>
      </c>
      <c r="G48">
        <v>156.6</v>
      </c>
      <c r="H48" s="31">
        <f t="shared" si="1"/>
        <v>-2.5465838509316736E-2</v>
      </c>
      <c r="I48" s="31">
        <f t="shared" si="2"/>
        <v>3.0425963488843813E-2</v>
      </c>
      <c r="J48" s="31">
        <f t="shared" si="3"/>
        <v>6.0000000000000383E-3</v>
      </c>
      <c r="K48" s="31">
        <f t="shared" si="4"/>
        <v>1.2554927809165096E-2</v>
      </c>
      <c r="L48" s="31">
        <f t="shared" si="5"/>
        <v>2.2551092318534097E-2</v>
      </c>
      <c r="M48" s="22">
        <f t="shared" si="6"/>
        <v>-4.4500953591863762E-3</v>
      </c>
    </row>
    <row r="49" spans="1:13">
      <c r="A49" s="4" t="s">
        <v>242</v>
      </c>
      <c r="B49">
        <v>156.69999999999999</v>
      </c>
      <c r="C49">
        <v>155.5</v>
      </c>
      <c r="D49">
        <v>151.19999999999999</v>
      </c>
      <c r="E49">
        <v>161.69999999999999</v>
      </c>
      <c r="F49">
        <v>146.19999999999999</v>
      </c>
      <c r="G49">
        <v>156.80000000000001</v>
      </c>
      <c r="H49" s="31">
        <f t="shared" si="1"/>
        <v>-1.2746972594010009E-3</v>
      </c>
      <c r="I49" s="31">
        <f t="shared" si="2"/>
        <v>2.0341207349081326E-2</v>
      </c>
      <c r="J49" s="31">
        <f t="shared" si="3"/>
        <v>1.9880715705764278E-3</v>
      </c>
      <c r="K49" s="31">
        <f t="shared" si="4"/>
        <v>2.4798512089273233E-3</v>
      </c>
      <c r="L49" s="31">
        <f t="shared" si="5"/>
        <v>7.5809786354238068E-3</v>
      </c>
      <c r="M49" s="22">
        <f t="shared" si="6"/>
        <v>1.2771392081737999E-3</v>
      </c>
    </row>
    <row r="50" spans="1:13">
      <c r="A50" s="4" t="s">
        <v>243</v>
      </c>
      <c r="B50">
        <v>158</v>
      </c>
      <c r="C50">
        <v>155.6</v>
      </c>
      <c r="D50">
        <v>151.80000000000001</v>
      </c>
      <c r="E50">
        <v>162.30000000000001</v>
      </c>
      <c r="F50">
        <v>146.6</v>
      </c>
      <c r="G50">
        <v>157.80000000000001</v>
      </c>
      <c r="H50" s="31">
        <f t="shared" si="1"/>
        <v>8.2961072112317253E-3</v>
      </c>
      <c r="I50" s="31">
        <f t="shared" si="2"/>
        <v>6.4308681672022071E-4</v>
      </c>
      <c r="J50" s="31">
        <f t="shared" si="3"/>
        <v>3.968253968254119E-3</v>
      </c>
      <c r="K50" s="31">
        <f t="shared" si="4"/>
        <v>3.7105751391467087E-3</v>
      </c>
      <c r="L50" s="31">
        <f t="shared" si="5"/>
        <v>2.7359781121751416E-3</v>
      </c>
      <c r="M50" s="22">
        <f t="shared" si="6"/>
        <v>6.3775510204081625E-3</v>
      </c>
    </row>
    <row r="51" spans="1:13">
      <c r="A51" s="4" t="s">
        <v>244</v>
      </c>
      <c r="B51">
        <v>160.69999999999999</v>
      </c>
      <c r="C51">
        <v>159.4</v>
      </c>
      <c r="D51">
        <v>154.69999999999999</v>
      </c>
      <c r="E51">
        <v>165.8</v>
      </c>
      <c r="F51">
        <v>148.9</v>
      </c>
      <c r="G51">
        <v>160.4</v>
      </c>
      <c r="H51" s="31">
        <f t="shared" si="1"/>
        <v>1.7088607594936637E-2</v>
      </c>
      <c r="I51" s="31">
        <f t="shared" si="2"/>
        <v>2.4421593830334265E-2</v>
      </c>
      <c r="J51" s="31">
        <f t="shared" si="3"/>
        <v>1.9104084321475475E-2</v>
      </c>
      <c r="K51" s="31">
        <f t="shared" si="4"/>
        <v>2.1565003080714726E-2</v>
      </c>
      <c r="L51" s="31">
        <f t="shared" si="5"/>
        <v>1.568894952251031E-2</v>
      </c>
      <c r="M51" s="22">
        <f t="shared" si="6"/>
        <v>1.6476552598225565E-2</v>
      </c>
    </row>
    <row r="52" spans="1:13">
      <c r="A52" s="4" t="s">
        <v>245</v>
      </c>
      <c r="B52">
        <v>162.6</v>
      </c>
      <c r="C52">
        <v>159.80000000000001</v>
      </c>
      <c r="D52">
        <v>154.80000000000001</v>
      </c>
      <c r="E52">
        <v>166.3</v>
      </c>
      <c r="F52">
        <v>150.69999999999999</v>
      </c>
      <c r="G52">
        <v>161.30000000000001</v>
      </c>
      <c r="H52" s="31">
        <f t="shared" si="1"/>
        <v>1.1823273179838244E-2</v>
      </c>
      <c r="I52" s="31">
        <f t="shared" si="2"/>
        <v>2.5094102885822186E-3</v>
      </c>
      <c r="J52" s="31">
        <f t="shared" si="3"/>
        <v>6.4641241111844047E-4</v>
      </c>
      <c r="K52" s="31">
        <f t="shared" si="4"/>
        <v>3.0156815440289505E-3</v>
      </c>
      <c r="L52" s="31">
        <f t="shared" si="5"/>
        <v>1.2088650100738636E-2</v>
      </c>
      <c r="M52" s="22">
        <f t="shared" si="6"/>
        <v>5.6109725685785893E-3</v>
      </c>
    </row>
    <row r="53" spans="1:13">
      <c r="A53" s="4" t="s">
        <v>246</v>
      </c>
      <c r="B53">
        <v>164</v>
      </c>
      <c r="C53">
        <v>160.69999999999999</v>
      </c>
      <c r="D53">
        <v>155.80000000000001</v>
      </c>
      <c r="E53">
        <v>167</v>
      </c>
      <c r="F53">
        <v>153.1</v>
      </c>
      <c r="G53">
        <v>162.5</v>
      </c>
      <c r="H53" s="31">
        <f t="shared" si="1"/>
        <v>8.6100861008610446E-3</v>
      </c>
      <c r="I53" s="31">
        <f t="shared" si="2"/>
        <v>5.6320400500624356E-3</v>
      </c>
      <c r="J53" s="31">
        <f t="shared" si="3"/>
        <v>6.4599483204134363E-3</v>
      </c>
      <c r="K53" s="31">
        <f t="shared" si="4"/>
        <v>4.2092603728201361E-3</v>
      </c>
      <c r="L53" s="31">
        <f t="shared" si="5"/>
        <v>1.5925680159256841E-2</v>
      </c>
      <c r="M53" s="22">
        <f t="shared" si="6"/>
        <v>7.439553626782322E-3</v>
      </c>
    </row>
    <row r="54" spans="1:13">
      <c r="A54" s="4" t="s">
        <v>247</v>
      </c>
      <c r="B54">
        <v>164</v>
      </c>
      <c r="C54">
        <v>162.6</v>
      </c>
      <c r="D54">
        <v>157.5</v>
      </c>
      <c r="E54">
        <v>168.4</v>
      </c>
      <c r="F54">
        <v>154</v>
      </c>
      <c r="G54">
        <v>163.19999999999999</v>
      </c>
      <c r="H54" s="31">
        <f t="shared" si="1"/>
        <v>0</v>
      </c>
      <c r="I54" s="31">
        <f t="shared" si="2"/>
        <v>1.1823273179838244E-2</v>
      </c>
      <c r="J54" s="31">
        <f t="shared" si="3"/>
        <v>1.0911424903722648E-2</v>
      </c>
      <c r="K54" s="31">
        <f t="shared" si="4"/>
        <v>8.3832335329341659E-3</v>
      </c>
      <c r="L54" s="31">
        <f t="shared" si="5"/>
        <v>5.8785107772697954E-3</v>
      </c>
      <c r="M54" s="22">
        <f t="shared" si="6"/>
        <v>4.3076923076922381E-3</v>
      </c>
    </row>
    <row r="55" spans="1:13">
      <c r="A55" s="4" t="s">
        <v>248</v>
      </c>
      <c r="B55">
        <v>164</v>
      </c>
      <c r="C55">
        <v>162.6</v>
      </c>
      <c r="D55">
        <v>157.5</v>
      </c>
      <c r="E55">
        <v>168.4</v>
      </c>
      <c r="F55">
        <v>154</v>
      </c>
      <c r="G55">
        <v>163.19999999999999</v>
      </c>
      <c r="H55" s="31">
        <f t="shared" si="1"/>
        <v>0</v>
      </c>
      <c r="I55" s="31">
        <f t="shared" si="2"/>
        <v>0</v>
      </c>
      <c r="J55" s="31">
        <f t="shared" si="3"/>
        <v>0</v>
      </c>
      <c r="K55" s="31">
        <f t="shared" si="4"/>
        <v>0</v>
      </c>
      <c r="L55" s="31">
        <f t="shared" si="5"/>
        <v>0</v>
      </c>
      <c r="M55" s="22">
        <f t="shared" si="6"/>
        <v>0</v>
      </c>
    </row>
    <row r="56" spans="1:13">
      <c r="A56" s="4" t="s">
        <v>249</v>
      </c>
      <c r="B56">
        <v>167.7</v>
      </c>
      <c r="C56">
        <v>164.2</v>
      </c>
      <c r="D56">
        <v>158.4</v>
      </c>
      <c r="E56">
        <v>169.1</v>
      </c>
      <c r="F56">
        <v>155.69999999999999</v>
      </c>
      <c r="G56">
        <v>165.5</v>
      </c>
      <c r="H56" s="31">
        <f t="shared" si="1"/>
        <v>2.2560975609756027E-2</v>
      </c>
      <c r="I56" s="31">
        <f t="shared" si="2"/>
        <v>9.8400984009839754E-3</v>
      </c>
      <c r="J56" s="31">
        <f t="shared" si="3"/>
        <v>5.7142857142857507E-3</v>
      </c>
      <c r="K56" s="31">
        <f t="shared" si="4"/>
        <v>4.1567695961994573E-3</v>
      </c>
      <c r="L56" s="31">
        <f t="shared" si="5"/>
        <v>1.1038961038960965E-2</v>
      </c>
      <c r="M56" s="22">
        <f t="shared" si="6"/>
        <v>1.4093137254902032E-2</v>
      </c>
    </row>
    <row r="57" spans="1:13">
      <c r="A57" s="4" t="s">
        <v>250</v>
      </c>
      <c r="B57">
        <v>169.7</v>
      </c>
      <c r="C57">
        <v>163.9</v>
      </c>
      <c r="D57">
        <v>159.30000000000001</v>
      </c>
      <c r="E57">
        <v>169.9</v>
      </c>
      <c r="F57">
        <v>154.80000000000001</v>
      </c>
      <c r="G57">
        <v>166.7</v>
      </c>
      <c r="H57" s="31">
        <f t="shared" si="1"/>
        <v>1.1926058437686345E-2</v>
      </c>
      <c r="I57" s="31">
        <f t="shared" si="2"/>
        <v>-1.8270401948841837E-3</v>
      </c>
      <c r="J57" s="31">
        <f t="shared" si="3"/>
        <v>5.6818181818182175E-3</v>
      </c>
      <c r="K57" s="31">
        <f t="shared" si="4"/>
        <v>4.730928444707341E-3</v>
      </c>
      <c r="L57" s="31">
        <f t="shared" si="5"/>
        <v>-5.7803468208091026E-3</v>
      </c>
      <c r="M57" s="22">
        <f t="shared" si="6"/>
        <v>7.2507552870089949E-3</v>
      </c>
    </row>
    <row r="58" spans="1:13">
      <c r="A58" s="4" t="s">
        <v>251</v>
      </c>
      <c r="B58">
        <v>168.2</v>
      </c>
      <c r="C58">
        <v>164.1</v>
      </c>
      <c r="D58">
        <v>160.19999999999999</v>
      </c>
      <c r="E58">
        <v>170.6</v>
      </c>
      <c r="F58">
        <v>155.69999999999999</v>
      </c>
      <c r="G58">
        <v>166.2</v>
      </c>
      <c r="H58" s="31">
        <f t="shared" si="1"/>
        <v>-8.8391278727165592E-3</v>
      </c>
      <c r="I58" s="31">
        <f t="shared" si="2"/>
        <v>1.2202562538132314E-3</v>
      </c>
      <c r="J58" s="31">
        <f t="shared" si="3"/>
        <v>5.6497175141241507E-3</v>
      </c>
      <c r="K58" s="31">
        <f t="shared" si="4"/>
        <v>4.1200706297821578E-3</v>
      </c>
      <c r="L58" s="31">
        <f t="shared" si="5"/>
        <v>5.8139534883719455E-3</v>
      </c>
      <c r="M58" s="22">
        <f t="shared" si="6"/>
        <v>-2.999400119976005E-3</v>
      </c>
    </row>
    <row r="59" spans="1:13">
      <c r="A59" s="4" t="s">
        <v>252</v>
      </c>
      <c r="B59">
        <v>166.4</v>
      </c>
      <c r="C59">
        <v>164.2</v>
      </c>
      <c r="D59">
        <v>161.1</v>
      </c>
      <c r="E59">
        <v>171.4</v>
      </c>
      <c r="F59">
        <v>156.5</v>
      </c>
      <c r="G59">
        <v>165.7</v>
      </c>
      <c r="H59" s="31">
        <f t="shared" si="1"/>
        <v>-1.070154577883462E-2</v>
      </c>
      <c r="I59" s="31">
        <f t="shared" si="2"/>
        <v>6.0938452163311586E-4</v>
      </c>
      <c r="J59" s="31">
        <f t="shared" si="3"/>
        <v>5.6179775280899239E-3</v>
      </c>
      <c r="K59" s="31">
        <f t="shared" si="4"/>
        <v>4.6893317702228097E-3</v>
      </c>
      <c r="L59" s="31">
        <f t="shared" si="5"/>
        <v>5.1380860629416276E-3</v>
      </c>
      <c r="M59" s="22">
        <f t="shared" si="6"/>
        <v>-3.0084235860409147E-3</v>
      </c>
    </row>
    <row r="60" spans="1:13">
      <c r="A60" s="4" t="s">
        <v>253</v>
      </c>
      <c r="B60">
        <v>166.2</v>
      </c>
      <c r="C60">
        <v>165.7</v>
      </c>
      <c r="D60">
        <v>161.80000000000001</v>
      </c>
      <c r="E60">
        <v>172.2</v>
      </c>
      <c r="F60">
        <v>156.9</v>
      </c>
      <c r="G60">
        <v>166.1</v>
      </c>
      <c r="H60" s="31">
        <f t="shared" si="1"/>
        <v>-1.2019230769231793E-3</v>
      </c>
      <c r="I60" s="31">
        <f t="shared" si="2"/>
        <v>9.1352009744214372E-3</v>
      </c>
      <c r="J60" s="31">
        <f t="shared" si="3"/>
        <v>4.3451272501552896E-3</v>
      </c>
      <c r="K60" s="31">
        <f t="shared" si="4"/>
        <v>4.6674445740955833E-3</v>
      </c>
      <c r="L60" s="31">
        <f t="shared" si="5"/>
        <v>2.5559105431310269E-3</v>
      </c>
      <c r="M60" s="22">
        <f t="shared" si="6"/>
        <v>2.4140012070006378E-3</v>
      </c>
    </row>
    <row r="61" spans="1:13">
      <c r="A61" s="4" t="s">
        <v>254</v>
      </c>
      <c r="B61">
        <v>168.4</v>
      </c>
      <c r="C61">
        <v>167.2</v>
      </c>
      <c r="D61">
        <v>162.80000000000001</v>
      </c>
      <c r="E61">
        <v>173</v>
      </c>
      <c r="F61">
        <v>157.9</v>
      </c>
      <c r="G61">
        <v>167.7</v>
      </c>
      <c r="H61" s="31">
        <f t="shared" si="1"/>
        <v>1.3237063778580128E-2</v>
      </c>
      <c r="I61" s="31">
        <f t="shared" si="2"/>
        <v>9.0525045262522634E-3</v>
      </c>
      <c r="J61" s="31">
        <f t="shared" si="3"/>
        <v>6.180469715698393E-3</v>
      </c>
      <c r="K61" s="31">
        <f t="shared" si="4"/>
        <v>4.6457607433217848E-3</v>
      </c>
      <c r="L61" s="31">
        <f t="shared" si="5"/>
        <v>6.3734862970044612E-3</v>
      </c>
      <c r="M61" s="22">
        <f t="shared" si="6"/>
        <v>9.6327513546056245E-3</v>
      </c>
    </row>
    <row r="62" spans="1:13">
      <c r="A62" s="4" t="s">
        <v>255</v>
      </c>
      <c r="B62">
        <v>170.8</v>
      </c>
      <c r="C62">
        <v>172.2</v>
      </c>
      <c r="D62">
        <v>164</v>
      </c>
      <c r="E62">
        <v>174</v>
      </c>
      <c r="F62">
        <v>162.6</v>
      </c>
      <c r="G62">
        <v>170.1</v>
      </c>
      <c r="H62" s="31">
        <f t="shared" si="1"/>
        <v>1.4251781472684119E-2</v>
      </c>
      <c r="I62" s="31">
        <f t="shared" si="2"/>
        <v>2.9904306220095697E-2</v>
      </c>
      <c r="J62" s="31">
        <f t="shared" si="3"/>
        <v>7.371007371007301E-3</v>
      </c>
      <c r="K62" s="31">
        <f t="shared" si="4"/>
        <v>5.7803468208092483E-3</v>
      </c>
      <c r="L62" s="31">
        <f t="shared" si="5"/>
        <v>2.9765674477517344E-2</v>
      </c>
      <c r="M62" s="22">
        <f t="shared" si="6"/>
        <v>1.4311270125223648E-2</v>
      </c>
    </row>
    <row r="63" spans="1:13">
      <c r="A63" s="4" t="s">
        <v>256</v>
      </c>
      <c r="B63">
        <v>173.3</v>
      </c>
      <c r="C63">
        <v>174.6</v>
      </c>
      <c r="D63">
        <v>165.2</v>
      </c>
      <c r="E63">
        <v>174.8</v>
      </c>
      <c r="F63">
        <v>163</v>
      </c>
      <c r="G63">
        <v>171.7</v>
      </c>
      <c r="H63" s="31">
        <f t="shared" si="1"/>
        <v>1.4637002341920374E-2</v>
      </c>
      <c r="I63" s="31">
        <f t="shared" si="2"/>
        <v>1.3937282229965191E-2</v>
      </c>
      <c r="J63" s="31">
        <f t="shared" si="3"/>
        <v>7.3170731707316384E-3</v>
      </c>
      <c r="K63" s="31">
        <f t="shared" si="4"/>
        <v>4.5977011494253523E-3</v>
      </c>
      <c r="L63" s="31">
        <f t="shared" si="5"/>
        <v>2.4600246002460377E-3</v>
      </c>
      <c r="M63" s="22">
        <f t="shared" si="6"/>
        <v>9.4062316284538178E-3</v>
      </c>
    </row>
    <row r="64" spans="1:13">
      <c r="A64" s="4" t="s">
        <v>183</v>
      </c>
      <c r="B64">
        <v>174.9</v>
      </c>
      <c r="C64">
        <v>176</v>
      </c>
      <c r="D64">
        <v>166.4</v>
      </c>
      <c r="E64">
        <v>175.4</v>
      </c>
      <c r="F64">
        <v>161.1</v>
      </c>
      <c r="G64">
        <v>172.6</v>
      </c>
      <c r="H64" s="31">
        <f t="shared" si="1"/>
        <v>9.2325447201384546E-3</v>
      </c>
      <c r="I64" s="31">
        <f t="shared" si="2"/>
        <v>8.0183276059565042E-3</v>
      </c>
      <c r="J64" s="31">
        <f t="shared" si="3"/>
        <v>7.2639225181599099E-3</v>
      </c>
      <c r="K64" s="31">
        <f t="shared" si="4"/>
        <v>3.4324942791761686E-3</v>
      </c>
      <c r="L64" s="31">
        <f t="shared" si="5"/>
        <v>-1.1656441717791446E-2</v>
      </c>
      <c r="M64" s="22">
        <f t="shared" si="6"/>
        <v>5.2417006406523343E-3</v>
      </c>
    </row>
    <row r="65" spans="1:13">
      <c r="A65" s="4" t="s">
        <v>192</v>
      </c>
      <c r="B65">
        <v>175</v>
      </c>
      <c r="C65">
        <v>179.6</v>
      </c>
      <c r="D65">
        <v>167.4</v>
      </c>
      <c r="E65">
        <v>176.1</v>
      </c>
      <c r="F65">
        <v>161.6</v>
      </c>
      <c r="G65">
        <v>173.4</v>
      </c>
      <c r="H65" s="31">
        <f t="shared" si="1"/>
        <v>5.7175528873638828E-4</v>
      </c>
      <c r="I65" s="31">
        <f t="shared" si="2"/>
        <v>2.0454545454545423E-2</v>
      </c>
      <c r="J65" s="31">
        <f t="shared" si="3"/>
        <v>6.0096153846153841E-3</v>
      </c>
      <c r="K65" s="31">
        <f t="shared" si="4"/>
        <v>3.9908779931584299E-3</v>
      </c>
      <c r="L65" s="31">
        <f t="shared" si="5"/>
        <v>3.1036623215394167E-3</v>
      </c>
      <c r="M65" s="22">
        <f t="shared" si="6"/>
        <v>4.634994206257308E-3</v>
      </c>
    </row>
    <row r="66" spans="1:13">
      <c r="A66" s="4" t="s">
        <v>193</v>
      </c>
      <c r="B66">
        <v>176.3</v>
      </c>
      <c r="C66">
        <v>178.8</v>
      </c>
      <c r="D66">
        <v>168.5</v>
      </c>
      <c r="E66">
        <v>176.8</v>
      </c>
      <c r="F66">
        <v>161.9</v>
      </c>
      <c r="G66">
        <v>174.3</v>
      </c>
      <c r="H66" s="31">
        <f t="shared" si="1"/>
        <v>7.4285714285714935E-3</v>
      </c>
      <c r="I66" s="31">
        <f t="shared" si="2"/>
        <v>-4.4543429844097048E-3</v>
      </c>
      <c r="J66" s="31">
        <f t="shared" si="3"/>
        <v>6.571087216248472E-3</v>
      </c>
      <c r="K66" s="31">
        <f t="shared" si="4"/>
        <v>3.9750141964793699E-3</v>
      </c>
      <c r="L66" s="31">
        <f t="shared" si="5"/>
        <v>1.8564356435644268E-3</v>
      </c>
      <c r="M66" s="22">
        <f t="shared" si="6"/>
        <v>5.1903114186851538E-3</v>
      </c>
    </row>
    <row r="67" spans="1:13">
      <c r="A67" s="4" t="s">
        <v>184</v>
      </c>
      <c r="B67">
        <v>177.8</v>
      </c>
      <c r="C67">
        <v>179.5</v>
      </c>
      <c r="D67">
        <v>169.5</v>
      </c>
      <c r="E67">
        <v>177.8</v>
      </c>
      <c r="F67">
        <v>162.30000000000001</v>
      </c>
      <c r="G67">
        <v>175.3</v>
      </c>
      <c r="H67" s="31">
        <f t="shared" si="1"/>
        <v>8.5082246171298923E-3</v>
      </c>
      <c r="I67" s="31">
        <f t="shared" si="2"/>
        <v>3.9149888143176093E-3</v>
      </c>
      <c r="J67" s="31">
        <f t="shared" si="3"/>
        <v>5.9347181008902079E-3</v>
      </c>
      <c r="K67" s="31">
        <f t="shared" si="4"/>
        <v>5.6561085972850677E-3</v>
      </c>
      <c r="L67" s="31">
        <f t="shared" si="5"/>
        <v>2.470660901791264E-3</v>
      </c>
      <c r="M67" s="22">
        <f t="shared" si="6"/>
        <v>5.737234652897303E-3</v>
      </c>
    </row>
    <row r="68" spans="1:13">
      <c r="A68" s="4" t="s">
        <v>185</v>
      </c>
      <c r="B68">
        <v>179.6</v>
      </c>
      <c r="C68">
        <v>180.5</v>
      </c>
      <c r="D68">
        <v>170.4</v>
      </c>
      <c r="E68">
        <v>178.7</v>
      </c>
      <c r="F68">
        <v>162.9</v>
      </c>
      <c r="G68">
        <v>176.7</v>
      </c>
      <c r="H68" s="31">
        <f t="shared" ref="H68:H73" si="8">(B68-B67)/B67</f>
        <v>1.0123734533183255E-2</v>
      </c>
      <c r="I68" s="31">
        <f t="shared" ref="I68:I73" si="9">(C68-C67)/C67</f>
        <v>5.5710306406685237E-3</v>
      </c>
      <c r="J68" s="31">
        <f t="shared" ref="J68:J73" si="10">(D68-D67)/D67</f>
        <v>5.30973451327437E-3</v>
      </c>
      <c r="K68" s="31">
        <f t="shared" ref="K68:K73" si="11">(E68-E67)/E67</f>
        <v>5.0618672665915477E-3</v>
      </c>
      <c r="L68" s="31">
        <f t="shared" ref="L68:L73" si="12">(F68-F67)/F67</f>
        <v>3.6968576709796321E-3</v>
      </c>
      <c r="M68" s="22">
        <f t="shared" ref="M68:M73" si="13">(G68-G67)/G67</f>
        <v>7.9863091842554308E-3</v>
      </c>
    </row>
    <row r="69" spans="1:13">
      <c r="A69" s="4" t="s">
        <v>186</v>
      </c>
      <c r="B69">
        <v>178.3</v>
      </c>
      <c r="C69">
        <v>181.3</v>
      </c>
      <c r="D69">
        <v>171.4</v>
      </c>
      <c r="E69">
        <v>179.8</v>
      </c>
      <c r="F69">
        <v>163</v>
      </c>
      <c r="G69">
        <v>176.5</v>
      </c>
      <c r="H69" s="31">
        <f t="shared" si="8"/>
        <v>-7.2383073496658295E-3</v>
      </c>
      <c r="I69" s="31">
        <f t="shared" si="9"/>
        <v>4.4321329639889825E-3</v>
      </c>
      <c r="J69" s="31">
        <f t="shared" si="10"/>
        <v>5.8685446009389668E-3</v>
      </c>
      <c r="K69" s="31">
        <f t="shared" si="11"/>
        <v>6.1555679910465745E-3</v>
      </c>
      <c r="L69" s="31">
        <f t="shared" si="12"/>
        <v>6.1387354205030267E-4</v>
      </c>
      <c r="M69" s="22">
        <f t="shared" si="13"/>
        <v>-1.1318619128465684E-3</v>
      </c>
    </row>
    <row r="70" spans="1:13">
      <c r="A70" s="4" t="s">
        <v>194</v>
      </c>
      <c r="B70">
        <v>175.9</v>
      </c>
      <c r="C70">
        <v>182</v>
      </c>
      <c r="D70">
        <v>172.1</v>
      </c>
      <c r="E70">
        <v>181.1</v>
      </c>
      <c r="F70">
        <v>163.4</v>
      </c>
      <c r="G70">
        <v>175.7</v>
      </c>
      <c r="H70" s="31">
        <f t="shared" si="8"/>
        <v>-1.3460459899046581E-2</v>
      </c>
      <c r="I70" s="31">
        <f t="shared" si="9"/>
        <v>3.8610038610037982E-3</v>
      </c>
      <c r="J70" s="31">
        <f t="shared" si="10"/>
        <v>4.0840140023336562E-3</v>
      </c>
      <c r="K70" s="31">
        <f t="shared" si="11"/>
        <v>7.2302558398219295E-3</v>
      </c>
      <c r="L70" s="31">
        <f t="shared" si="12"/>
        <v>2.4539877300613845E-3</v>
      </c>
      <c r="M70" s="22">
        <f t="shared" si="13"/>
        <v>-4.5325779036827843E-3</v>
      </c>
    </row>
    <row r="71" spans="1:13">
      <c r="A71" s="4" t="s">
        <v>187</v>
      </c>
      <c r="B71">
        <v>176.7</v>
      </c>
      <c r="C71">
        <v>182</v>
      </c>
      <c r="D71">
        <v>172.9</v>
      </c>
      <c r="E71">
        <v>182.3</v>
      </c>
      <c r="F71">
        <v>163.6</v>
      </c>
      <c r="G71">
        <v>176.5</v>
      </c>
      <c r="H71" s="31">
        <f t="shared" si="8"/>
        <v>4.5480386583284984E-3</v>
      </c>
      <c r="I71" s="31">
        <f t="shared" si="9"/>
        <v>0</v>
      </c>
      <c r="J71" s="31">
        <f t="shared" si="10"/>
        <v>4.648460197559625E-3</v>
      </c>
      <c r="K71" s="31">
        <f t="shared" si="11"/>
        <v>6.6261733848703317E-3</v>
      </c>
      <c r="L71" s="31">
        <f t="shared" si="12"/>
        <v>1.2239902080782657E-3</v>
      </c>
      <c r="M71" s="22">
        <f t="shared" si="13"/>
        <v>4.5532157085942599E-3</v>
      </c>
    </row>
    <row r="72" spans="1:13">
      <c r="A72" s="4" t="s">
        <v>188</v>
      </c>
      <c r="B72">
        <v>177</v>
      </c>
      <c r="C72">
        <v>182.1</v>
      </c>
      <c r="D72">
        <v>174.2</v>
      </c>
      <c r="E72">
        <v>184.4</v>
      </c>
      <c r="F72">
        <v>164.2</v>
      </c>
      <c r="G72">
        <v>177.2</v>
      </c>
      <c r="H72" s="31">
        <f t="shared" si="8"/>
        <v>1.6977928692700134E-3</v>
      </c>
      <c r="I72" s="31">
        <f t="shared" si="9"/>
        <v>5.4945054945051823E-4</v>
      </c>
      <c r="J72" s="31">
        <f t="shared" si="10"/>
        <v>7.5187969924811037E-3</v>
      </c>
      <c r="K72" s="31">
        <f t="shared" si="11"/>
        <v>1.1519473395501889E-2</v>
      </c>
      <c r="L72" s="31">
        <f t="shared" si="12"/>
        <v>3.6674816625916523E-3</v>
      </c>
      <c r="M72" s="22">
        <f t="shared" si="13"/>
        <v>3.9660056657223148E-3</v>
      </c>
    </row>
    <row r="73" spans="1:13" ht="15" thickBot="1">
      <c r="A73" s="6" t="s">
        <v>189</v>
      </c>
      <c r="B73" s="11">
        <v>177</v>
      </c>
      <c r="C73" s="11">
        <v>181.9</v>
      </c>
      <c r="D73" s="11">
        <v>174.2</v>
      </c>
      <c r="E73" s="11">
        <v>184.4</v>
      </c>
      <c r="F73" s="11">
        <v>164.2</v>
      </c>
      <c r="G73" s="11">
        <v>177.2</v>
      </c>
      <c r="H73" s="42">
        <f t="shared" si="8"/>
        <v>0</v>
      </c>
      <c r="I73" s="42">
        <f t="shared" si="9"/>
        <v>-1.0982976386600144E-3</v>
      </c>
      <c r="J73" s="42">
        <f t="shared" si="10"/>
        <v>0</v>
      </c>
      <c r="K73" s="42">
        <f t="shared" si="11"/>
        <v>0</v>
      </c>
      <c r="L73" s="42">
        <f t="shared" si="12"/>
        <v>0</v>
      </c>
      <c r="M73" s="43">
        <f t="shared" si="13"/>
        <v>0</v>
      </c>
    </row>
  </sheetData>
  <mergeCells count="8">
    <mergeCell ref="O28:Q29"/>
    <mergeCell ref="O30:Q32"/>
    <mergeCell ref="P2:V3"/>
    <mergeCell ref="O17:Q17"/>
    <mergeCell ref="O18:Q19"/>
    <mergeCell ref="O22:Q23"/>
    <mergeCell ref="O24:Q26"/>
    <mergeCell ref="O20:Q20"/>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2A7899-5FB8-41E6-9D81-6FE78AEF968C}">
  <dimension ref="A1:Z30"/>
  <sheetViews>
    <sheetView zoomScale="70" zoomScaleNormal="70" workbookViewId="0">
      <selection activeCell="S4" sqref="S4"/>
    </sheetView>
  </sheetViews>
  <sheetFormatPr defaultRowHeight="14.6"/>
  <cols>
    <col min="1" max="1" width="14.53515625" bestFit="1" customWidth="1"/>
    <col min="2" max="2" width="17.15234375" hidden="1" customWidth="1"/>
    <col min="3" max="3" width="11.84375" hidden="1" customWidth="1"/>
    <col min="4" max="4" width="6.15234375" hidden="1" customWidth="1"/>
    <col min="5" max="5" width="25.69140625" hidden="1" customWidth="1"/>
    <col min="6" max="6" width="23.3828125" hidden="1" customWidth="1"/>
    <col min="7" max="7" width="8.921875" hidden="1" customWidth="1"/>
    <col min="8" max="8" width="12" hidden="1" customWidth="1"/>
    <col min="9" max="9" width="8.3046875" hidden="1" customWidth="1"/>
    <col min="10" max="10" width="24.15234375" hidden="1" customWidth="1"/>
    <col min="11" max="11" width="19.4609375" bestFit="1" customWidth="1"/>
    <col min="12" max="12" width="12.3046875" hidden="1" customWidth="1"/>
    <col min="13" max="13" width="31.69140625" hidden="1" customWidth="1"/>
    <col min="14" max="14" width="29.3046875" hidden="1" customWidth="1"/>
    <col min="15" max="15" width="15.07421875" hidden="1" customWidth="1"/>
    <col min="16" max="16" width="15.07421875" customWidth="1"/>
    <col min="17" max="17" width="18.23046875" hidden="1" customWidth="1"/>
    <col min="18" max="18" width="14.53515625" customWidth="1"/>
    <col min="19" max="19" width="26.23046875" customWidth="1"/>
    <col min="20" max="20" width="30.921875" customWidth="1"/>
    <col min="21" max="21" width="17.07421875" customWidth="1"/>
  </cols>
  <sheetData>
    <row r="1" spans="1:26" ht="15" thickBot="1">
      <c r="A1" s="24" t="s">
        <v>257</v>
      </c>
      <c r="B1" s="25" t="s">
        <v>15</v>
      </c>
      <c r="C1" s="25" t="s">
        <v>21</v>
      </c>
      <c r="D1" s="25" t="s">
        <v>23</v>
      </c>
      <c r="E1" s="25" t="s">
        <v>24</v>
      </c>
      <c r="F1" s="25" t="s">
        <v>25</v>
      </c>
      <c r="G1" s="25" t="s">
        <v>26</v>
      </c>
      <c r="H1" s="25" t="s">
        <v>29</v>
      </c>
      <c r="I1" s="25" t="s">
        <v>345</v>
      </c>
      <c r="J1" s="25" t="s">
        <v>271</v>
      </c>
      <c r="K1" s="25" t="s">
        <v>259</v>
      </c>
      <c r="L1" s="25" t="s">
        <v>261</v>
      </c>
      <c r="M1" s="25" t="s">
        <v>263</v>
      </c>
      <c r="N1" s="25" t="s">
        <v>272</v>
      </c>
      <c r="O1" s="25" t="s">
        <v>273</v>
      </c>
      <c r="P1" s="25" t="s">
        <v>346</v>
      </c>
      <c r="Q1" s="26" t="s">
        <v>274</v>
      </c>
    </row>
    <row r="2" spans="1:26">
      <c r="A2" s="4" t="s">
        <v>240</v>
      </c>
      <c r="B2">
        <v>161</v>
      </c>
      <c r="C2">
        <v>147.9</v>
      </c>
      <c r="D2">
        <v>159.30000000000001</v>
      </c>
      <c r="E2">
        <v>141.9</v>
      </c>
      <c r="F2">
        <v>149.6</v>
      </c>
      <c r="G2">
        <v>159.19999999999999</v>
      </c>
      <c r="H2">
        <v>157.30000000000001</v>
      </c>
      <c r="I2">
        <v>54.77</v>
      </c>
      <c r="Q2" s="5"/>
      <c r="T2" s="116" t="s">
        <v>393</v>
      </c>
      <c r="U2" s="99"/>
      <c r="V2" s="99"/>
      <c r="W2" s="99"/>
      <c r="X2" s="99"/>
      <c r="Y2" s="99"/>
      <c r="Z2" s="91"/>
    </row>
    <row r="3" spans="1:26">
      <c r="A3" s="4" t="s">
        <v>241</v>
      </c>
      <c r="B3">
        <v>156.9</v>
      </c>
      <c r="C3">
        <v>152.4</v>
      </c>
      <c r="D3">
        <v>161.30000000000001</v>
      </c>
      <c r="E3">
        <v>145.1</v>
      </c>
      <c r="F3">
        <v>151.5</v>
      </c>
      <c r="G3">
        <v>159.5</v>
      </c>
      <c r="H3">
        <v>156.6</v>
      </c>
      <c r="I3">
        <v>62.28</v>
      </c>
      <c r="J3" s="31">
        <f>(B3-B2)/B2</f>
        <v>-2.5465838509316736E-2</v>
      </c>
      <c r="K3" s="31">
        <f t="shared" ref="K3:O3" si="0">(C3-C2)/C2</f>
        <v>3.0425963488843813E-2</v>
      </c>
      <c r="L3" s="31">
        <f t="shared" si="0"/>
        <v>1.2554927809165096E-2</v>
      </c>
      <c r="M3" s="31">
        <f t="shared" si="0"/>
        <v>2.2551092318534097E-2</v>
      </c>
      <c r="N3" s="31">
        <f t="shared" si="0"/>
        <v>1.2700534759358327E-2</v>
      </c>
      <c r="O3" s="31">
        <f t="shared" si="0"/>
        <v>1.8844221105528353E-3</v>
      </c>
      <c r="P3" s="31">
        <f>(I3-I2)/I2</f>
        <v>0.1371188606901588</v>
      </c>
      <c r="Q3" s="22">
        <f>(H3-H2)/H2</f>
        <v>-4.4500953591863762E-3</v>
      </c>
      <c r="T3" s="117"/>
      <c r="U3" s="118"/>
      <c r="V3" s="118"/>
      <c r="W3" s="118"/>
      <c r="X3" s="118"/>
      <c r="Y3" s="118"/>
      <c r="Z3" s="119"/>
    </row>
    <row r="4" spans="1:26" ht="15" thickBot="1">
      <c r="A4" s="4" t="s">
        <v>242</v>
      </c>
      <c r="B4">
        <v>156.69999999999999</v>
      </c>
      <c r="C4">
        <v>155.5</v>
      </c>
      <c r="D4">
        <v>161.69999999999999</v>
      </c>
      <c r="E4">
        <v>146.19999999999999</v>
      </c>
      <c r="F4">
        <v>152.6</v>
      </c>
      <c r="G4">
        <v>160.19999999999999</v>
      </c>
      <c r="H4">
        <v>156.80000000000001</v>
      </c>
      <c r="I4">
        <v>65.41</v>
      </c>
      <c r="J4" s="31">
        <f t="shared" ref="J4:J30" si="1">(B4-B3)/B3</f>
        <v>-1.2746972594010009E-3</v>
      </c>
      <c r="K4" s="31">
        <f t="shared" ref="K4:K30" si="2">(C4-C3)/C3</f>
        <v>2.0341207349081326E-2</v>
      </c>
      <c r="L4" s="31">
        <f t="shared" ref="L4:L30" si="3">(D4-D3)/D3</f>
        <v>2.4798512089273233E-3</v>
      </c>
      <c r="M4" s="31">
        <f t="shared" ref="M4:M30" si="4">(E4-E3)/E3</f>
        <v>7.5809786354238068E-3</v>
      </c>
      <c r="N4" s="31">
        <f t="shared" ref="N4:O30" si="5">(F4-F3)/F3</f>
        <v>7.2607260726072235E-3</v>
      </c>
      <c r="O4" s="31">
        <f t="shared" ref="O4:O15" si="6">(G4-G3)/G3</f>
        <v>4.3887147335422488E-3</v>
      </c>
      <c r="P4" s="31">
        <f t="shared" ref="P4:P30" si="7">(I4-I3)/I3</f>
        <v>5.0256904303147006E-2</v>
      </c>
      <c r="Q4" s="22">
        <f t="shared" ref="Q4:Q30" si="8">(H4-H3)/H3</f>
        <v>1.2771392081737999E-3</v>
      </c>
      <c r="T4" s="92"/>
      <c r="U4" s="100"/>
      <c r="V4" s="100"/>
      <c r="W4" s="100"/>
      <c r="X4" s="100"/>
      <c r="Y4" s="100"/>
      <c r="Z4" s="93"/>
    </row>
    <row r="5" spans="1:26">
      <c r="A5" s="4" t="s">
        <v>243</v>
      </c>
      <c r="B5">
        <v>158</v>
      </c>
      <c r="C5">
        <v>155.6</v>
      </c>
      <c r="D5">
        <v>162.30000000000001</v>
      </c>
      <c r="E5">
        <v>146.6</v>
      </c>
      <c r="F5">
        <v>153.19999999999999</v>
      </c>
      <c r="G5">
        <v>160.30000000000001</v>
      </c>
      <c r="H5">
        <v>157.80000000000001</v>
      </c>
      <c r="I5">
        <v>64.81</v>
      </c>
      <c r="J5" s="31">
        <f t="shared" si="1"/>
        <v>8.2961072112317253E-3</v>
      </c>
      <c r="K5" s="31">
        <f t="shared" si="2"/>
        <v>6.4308681672022071E-4</v>
      </c>
      <c r="L5" s="31">
        <f t="shared" si="3"/>
        <v>3.7105751391467087E-3</v>
      </c>
      <c r="M5" s="31">
        <f t="shared" si="4"/>
        <v>2.7359781121751416E-3</v>
      </c>
      <c r="N5" s="31">
        <f t="shared" si="5"/>
        <v>3.9318479685451794E-3</v>
      </c>
      <c r="O5" s="31">
        <f t="shared" si="6"/>
        <v>6.2421972534346278E-4</v>
      </c>
      <c r="P5" s="31">
        <f t="shared" si="7"/>
        <v>-9.1729093410792585E-3</v>
      </c>
      <c r="Q5" s="22">
        <f t="shared" si="8"/>
        <v>6.3775510204081625E-3</v>
      </c>
    </row>
    <row r="6" spans="1:26">
      <c r="A6" s="4" t="s">
        <v>244</v>
      </c>
      <c r="B6">
        <v>160.69999999999999</v>
      </c>
      <c r="C6">
        <v>159.4</v>
      </c>
      <c r="D6">
        <v>165.8</v>
      </c>
      <c r="E6">
        <v>148.9</v>
      </c>
      <c r="F6">
        <v>155.80000000000001</v>
      </c>
      <c r="G6">
        <v>161.19999999999999</v>
      </c>
      <c r="H6">
        <v>160.4</v>
      </c>
      <c r="I6">
        <v>68.53</v>
      </c>
      <c r="J6" s="31">
        <f t="shared" si="1"/>
        <v>1.7088607594936637E-2</v>
      </c>
      <c r="K6" s="31">
        <f t="shared" si="2"/>
        <v>2.4421593830334265E-2</v>
      </c>
      <c r="L6" s="31">
        <f t="shared" si="3"/>
        <v>2.1565003080714726E-2</v>
      </c>
      <c r="M6" s="31">
        <f t="shared" si="4"/>
        <v>1.568894952251031E-2</v>
      </c>
      <c r="N6" s="31">
        <f t="shared" si="5"/>
        <v>1.6971279373368297E-2</v>
      </c>
      <c r="O6" s="31">
        <f t="shared" si="6"/>
        <v>5.6144728633810183E-3</v>
      </c>
      <c r="P6" s="31">
        <f t="shared" si="7"/>
        <v>5.7398549606542178E-2</v>
      </c>
      <c r="Q6" s="22">
        <f t="shared" si="8"/>
        <v>1.6476552598225565E-2</v>
      </c>
    </row>
    <row r="7" spans="1:26">
      <c r="A7" s="4" t="s">
        <v>245</v>
      </c>
      <c r="B7">
        <v>162.6</v>
      </c>
      <c r="C7">
        <v>159.80000000000001</v>
      </c>
      <c r="D7">
        <v>166.3</v>
      </c>
      <c r="E7">
        <v>150.69999999999999</v>
      </c>
      <c r="F7">
        <v>154.9</v>
      </c>
      <c r="G7">
        <v>161.69999999999999</v>
      </c>
      <c r="H7">
        <v>161.30000000000001</v>
      </c>
      <c r="I7">
        <v>73.16</v>
      </c>
      <c r="J7" s="31">
        <f t="shared" si="1"/>
        <v>1.1823273179838244E-2</v>
      </c>
      <c r="K7" s="31">
        <f t="shared" si="2"/>
        <v>2.5094102885822186E-3</v>
      </c>
      <c r="L7" s="31">
        <f t="shared" si="3"/>
        <v>3.0156815440289505E-3</v>
      </c>
      <c r="M7" s="31">
        <f t="shared" si="4"/>
        <v>1.2088650100738636E-2</v>
      </c>
      <c r="N7" s="31">
        <f t="shared" si="5"/>
        <v>-5.7766367137355949E-3</v>
      </c>
      <c r="O7" s="31">
        <f t="shared" si="6"/>
        <v>3.1017369727047149E-3</v>
      </c>
      <c r="P7" s="31">
        <f t="shared" si="7"/>
        <v>6.7561651831314684E-2</v>
      </c>
      <c r="Q7" s="22">
        <f t="shared" si="8"/>
        <v>5.6109725685785893E-3</v>
      </c>
    </row>
    <row r="8" spans="1:26" ht="15" thickBot="1">
      <c r="A8" s="4" t="s">
        <v>246</v>
      </c>
      <c r="B8">
        <v>164</v>
      </c>
      <c r="C8">
        <v>160.69999999999999</v>
      </c>
      <c r="D8">
        <v>167</v>
      </c>
      <c r="E8">
        <v>153.1</v>
      </c>
      <c r="F8">
        <v>155.30000000000001</v>
      </c>
      <c r="G8">
        <v>163.19999999999999</v>
      </c>
      <c r="H8">
        <v>162.5</v>
      </c>
      <c r="I8">
        <v>75.17</v>
      </c>
      <c r="J8" s="31">
        <f t="shared" si="1"/>
        <v>8.6100861008610446E-3</v>
      </c>
      <c r="K8" s="31">
        <f t="shared" si="2"/>
        <v>5.6320400500624356E-3</v>
      </c>
      <c r="L8" s="31">
        <f t="shared" si="3"/>
        <v>4.2092603728201361E-3</v>
      </c>
      <c r="M8" s="31">
        <f t="shared" si="4"/>
        <v>1.5925680159256841E-2</v>
      </c>
      <c r="N8" s="31">
        <f t="shared" si="5"/>
        <v>2.5823111684958404E-3</v>
      </c>
      <c r="O8" s="31">
        <f t="shared" si="6"/>
        <v>9.2764378478664197E-3</v>
      </c>
      <c r="P8" s="31">
        <f t="shared" si="7"/>
        <v>2.7474029524330305E-2</v>
      </c>
      <c r="Q8" s="22">
        <f t="shared" si="8"/>
        <v>7.439553626782322E-3</v>
      </c>
    </row>
    <row r="9" spans="1:26" ht="15" thickBot="1">
      <c r="A9" s="4" t="s">
        <v>247</v>
      </c>
      <c r="B9">
        <v>164</v>
      </c>
      <c r="C9">
        <v>162.6</v>
      </c>
      <c r="D9">
        <v>168.4</v>
      </c>
      <c r="E9">
        <v>154</v>
      </c>
      <c r="F9">
        <v>157.6</v>
      </c>
      <c r="G9">
        <v>163.80000000000001</v>
      </c>
      <c r="H9">
        <v>163.19999999999999</v>
      </c>
      <c r="I9">
        <v>70.75</v>
      </c>
      <c r="J9" s="31">
        <f t="shared" si="1"/>
        <v>0</v>
      </c>
      <c r="K9" s="31">
        <f t="shared" si="2"/>
        <v>1.1823273179838244E-2</v>
      </c>
      <c r="L9" s="31">
        <f t="shared" si="3"/>
        <v>8.3832335329341659E-3</v>
      </c>
      <c r="M9" s="31">
        <f t="shared" si="4"/>
        <v>5.8785107772697954E-3</v>
      </c>
      <c r="N9" s="31">
        <f t="shared" si="5"/>
        <v>1.4810045074050114E-2</v>
      </c>
      <c r="O9" s="31">
        <f t="shared" si="6"/>
        <v>3.6764705882354337E-3</v>
      </c>
      <c r="P9" s="31">
        <f t="shared" si="7"/>
        <v>-5.8800053212717862E-2</v>
      </c>
      <c r="Q9" s="22">
        <f t="shared" si="8"/>
        <v>4.3076923076922381E-3</v>
      </c>
      <c r="S9" s="63" t="s">
        <v>275</v>
      </c>
      <c r="T9" s="64" t="s">
        <v>347</v>
      </c>
      <c r="U9" s="63" t="s">
        <v>395</v>
      </c>
    </row>
    <row r="10" spans="1:26">
      <c r="A10" s="4" t="s">
        <v>248</v>
      </c>
      <c r="B10">
        <v>164</v>
      </c>
      <c r="C10">
        <v>162.6</v>
      </c>
      <c r="D10">
        <v>168.4</v>
      </c>
      <c r="E10">
        <v>154</v>
      </c>
      <c r="F10">
        <v>157.69999999999999</v>
      </c>
      <c r="G10">
        <v>163.69999999999999</v>
      </c>
      <c r="H10">
        <v>163.19999999999999</v>
      </c>
      <c r="I10">
        <v>74.489999999999995</v>
      </c>
      <c r="J10" s="31">
        <f t="shared" si="1"/>
        <v>0</v>
      </c>
      <c r="K10" s="31">
        <f t="shared" si="2"/>
        <v>0</v>
      </c>
      <c r="L10" s="31">
        <f t="shared" si="3"/>
        <v>0</v>
      </c>
      <c r="M10" s="31">
        <f t="shared" si="4"/>
        <v>0</v>
      </c>
      <c r="N10" s="31">
        <f t="shared" si="5"/>
        <v>6.3451776649742588E-4</v>
      </c>
      <c r="O10" s="31">
        <f t="shared" si="6"/>
        <v>-6.1050061050074928E-4</v>
      </c>
      <c r="P10" s="31">
        <f t="shared" si="7"/>
        <v>5.2862190812720776E-2</v>
      </c>
      <c r="Q10" s="22">
        <f t="shared" si="8"/>
        <v>0</v>
      </c>
      <c r="S10" s="16" t="s">
        <v>269</v>
      </c>
      <c r="T10" s="38">
        <f>CORREL(P3:P30,J3:J30)</f>
        <v>4.8366331321187707E-2</v>
      </c>
      <c r="U10" s="62" t="s">
        <v>397</v>
      </c>
    </row>
    <row r="11" spans="1:26">
      <c r="A11" s="4" t="s">
        <v>249</v>
      </c>
      <c r="B11">
        <v>167.7</v>
      </c>
      <c r="C11">
        <v>164.2</v>
      </c>
      <c r="D11">
        <v>169.1</v>
      </c>
      <c r="E11">
        <v>155.69999999999999</v>
      </c>
      <c r="F11">
        <v>158.6</v>
      </c>
      <c r="G11">
        <v>163.9</v>
      </c>
      <c r="H11">
        <v>165.5</v>
      </c>
      <c r="I11">
        <v>83.54</v>
      </c>
      <c r="J11" s="31">
        <f t="shared" si="1"/>
        <v>2.2560975609756027E-2</v>
      </c>
      <c r="K11" s="31">
        <f t="shared" si="2"/>
        <v>9.8400984009839754E-3</v>
      </c>
      <c r="L11" s="31">
        <f t="shared" si="3"/>
        <v>4.1567695961994573E-3</v>
      </c>
      <c r="M11" s="31">
        <f t="shared" si="4"/>
        <v>1.1038961038960965E-2</v>
      </c>
      <c r="N11" s="31">
        <f t="shared" si="5"/>
        <v>5.7070386810399859E-3</v>
      </c>
      <c r="O11" s="31">
        <f t="shared" si="6"/>
        <v>1.2217470983507458E-3</v>
      </c>
      <c r="P11" s="31">
        <f t="shared" si="7"/>
        <v>0.12149281782789652</v>
      </c>
      <c r="Q11" s="22">
        <f t="shared" si="8"/>
        <v>1.4093137254902032E-2</v>
      </c>
      <c r="S11" s="16" t="s">
        <v>268</v>
      </c>
      <c r="T11" s="38">
        <f>CORREL(P3:P30,K3:K30)</f>
        <v>0.12569723411361958</v>
      </c>
      <c r="U11" s="16" t="s">
        <v>397</v>
      </c>
    </row>
    <row r="12" spans="1:26">
      <c r="A12" s="4" t="s">
        <v>250</v>
      </c>
      <c r="B12">
        <v>169.7</v>
      </c>
      <c r="C12">
        <v>163.9</v>
      </c>
      <c r="D12">
        <v>169.9</v>
      </c>
      <c r="E12">
        <v>154.80000000000001</v>
      </c>
      <c r="F12">
        <v>159.80000000000001</v>
      </c>
      <c r="G12">
        <v>164.3</v>
      </c>
      <c r="H12">
        <v>166.7</v>
      </c>
      <c r="I12">
        <v>81.05</v>
      </c>
      <c r="J12" s="31">
        <f t="shared" si="1"/>
        <v>1.1926058437686345E-2</v>
      </c>
      <c r="K12" s="31">
        <f t="shared" si="2"/>
        <v>-1.8270401948841837E-3</v>
      </c>
      <c r="L12" s="31">
        <f t="shared" si="3"/>
        <v>4.730928444707341E-3</v>
      </c>
      <c r="M12" s="31">
        <f t="shared" si="4"/>
        <v>-5.7803468208091026E-3</v>
      </c>
      <c r="N12" s="31">
        <f t="shared" si="5"/>
        <v>7.5662042875158705E-3</v>
      </c>
      <c r="O12" s="31">
        <f t="shared" si="6"/>
        <v>2.4405125076266362E-3</v>
      </c>
      <c r="P12" s="31">
        <f t="shared" si="7"/>
        <v>-2.9806080919320192E-2</v>
      </c>
      <c r="Q12" s="22">
        <f t="shared" si="8"/>
        <v>7.2507552870089949E-3</v>
      </c>
      <c r="S12" s="16" t="s">
        <v>25</v>
      </c>
      <c r="T12" s="38">
        <f>CORREL(P3:P30,N3:N30)</f>
        <v>0.12188551861572479</v>
      </c>
      <c r="U12" s="16" t="s">
        <v>397</v>
      </c>
    </row>
    <row r="13" spans="1:26">
      <c r="A13" s="4" t="s">
        <v>251</v>
      </c>
      <c r="B13">
        <v>168.2</v>
      </c>
      <c r="C13">
        <v>164.1</v>
      </c>
      <c r="D13">
        <v>170.6</v>
      </c>
      <c r="E13">
        <v>155.69999999999999</v>
      </c>
      <c r="F13">
        <v>160.6</v>
      </c>
      <c r="G13">
        <v>164.4</v>
      </c>
      <c r="H13">
        <v>166.2</v>
      </c>
      <c r="I13">
        <v>74.17</v>
      </c>
      <c r="J13" s="31">
        <f t="shared" si="1"/>
        <v>-8.8391278727165592E-3</v>
      </c>
      <c r="K13" s="31">
        <f t="shared" si="2"/>
        <v>1.2202562538132314E-3</v>
      </c>
      <c r="L13" s="31">
        <f t="shared" si="3"/>
        <v>4.1200706297821578E-3</v>
      </c>
      <c r="M13" s="31">
        <f t="shared" si="4"/>
        <v>5.8139534883719455E-3</v>
      </c>
      <c r="N13" s="31">
        <f t="shared" si="5"/>
        <v>5.0062578222777399E-3</v>
      </c>
      <c r="O13" s="31">
        <f t="shared" si="6"/>
        <v>6.0864272671938102E-4</v>
      </c>
      <c r="P13" s="31">
        <f t="shared" si="7"/>
        <v>-8.4885872917951827E-2</v>
      </c>
      <c r="Q13" s="22">
        <f t="shared" si="8"/>
        <v>-2.999400119976005E-3</v>
      </c>
      <c r="S13" s="16" t="s">
        <v>23</v>
      </c>
      <c r="T13" s="38">
        <f>CORREL(P3:P30,L3:L30)</f>
        <v>7.1230618080455207E-2</v>
      </c>
      <c r="U13" s="16" t="s">
        <v>397</v>
      </c>
    </row>
    <row r="14" spans="1:26">
      <c r="A14" s="4" t="s">
        <v>252</v>
      </c>
      <c r="B14">
        <v>166.4</v>
      </c>
      <c r="C14">
        <v>164.2</v>
      </c>
      <c r="D14">
        <v>171.4</v>
      </c>
      <c r="E14">
        <v>156.5</v>
      </c>
      <c r="F14">
        <v>161.19999999999999</v>
      </c>
      <c r="G14">
        <v>164.7</v>
      </c>
      <c r="H14">
        <v>165.7</v>
      </c>
      <c r="I14">
        <v>86.51</v>
      </c>
      <c r="J14" s="31">
        <f t="shared" si="1"/>
        <v>-1.070154577883462E-2</v>
      </c>
      <c r="K14" s="31">
        <f t="shared" si="2"/>
        <v>6.0938452163311586E-4</v>
      </c>
      <c r="L14" s="31">
        <f t="shared" si="3"/>
        <v>4.6893317702228097E-3</v>
      </c>
      <c r="M14" s="31">
        <f t="shared" si="4"/>
        <v>5.1380860629416276E-3</v>
      </c>
      <c r="N14" s="31">
        <f t="shared" si="5"/>
        <v>3.735990037359865E-3</v>
      </c>
      <c r="O14" s="31">
        <f t="shared" si="6"/>
        <v>1.8248175182480715E-3</v>
      </c>
      <c r="P14" s="31">
        <f t="shared" si="7"/>
        <v>0.16637454496427131</v>
      </c>
      <c r="Q14" s="22">
        <f t="shared" si="8"/>
        <v>-3.0084235860409147E-3</v>
      </c>
      <c r="S14" s="16" t="s">
        <v>24</v>
      </c>
      <c r="T14" s="38">
        <f>CORREL(P3:P30,M3:M30)</f>
        <v>7.6469917089224709E-2</v>
      </c>
      <c r="U14" s="16" t="s">
        <v>397</v>
      </c>
    </row>
    <row r="15" spans="1:26" ht="15" thickBot="1">
      <c r="A15" s="4" t="s">
        <v>253</v>
      </c>
      <c r="B15">
        <v>166.2</v>
      </c>
      <c r="C15">
        <v>165.7</v>
      </c>
      <c r="D15">
        <v>172.2</v>
      </c>
      <c r="E15">
        <v>156.9</v>
      </c>
      <c r="F15">
        <v>162.1</v>
      </c>
      <c r="G15">
        <v>165.4</v>
      </c>
      <c r="H15">
        <v>166.1</v>
      </c>
      <c r="I15">
        <v>97.13</v>
      </c>
      <c r="J15" s="31">
        <f t="shared" si="1"/>
        <v>-1.2019230769231793E-3</v>
      </c>
      <c r="K15" s="31">
        <f t="shared" si="2"/>
        <v>9.1352009744214372E-3</v>
      </c>
      <c r="L15" s="31">
        <f t="shared" si="3"/>
        <v>4.6674445740955833E-3</v>
      </c>
      <c r="M15" s="31">
        <f t="shared" si="4"/>
        <v>2.5559105431310269E-3</v>
      </c>
      <c r="N15" s="31">
        <f t="shared" si="5"/>
        <v>5.5831265508685217E-3</v>
      </c>
      <c r="O15" s="31">
        <f t="shared" si="6"/>
        <v>4.2501517911355015E-3</v>
      </c>
      <c r="P15" s="31">
        <f t="shared" si="7"/>
        <v>0.1227603745231764</v>
      </c>
      <c r="Q15" s="22">
        <f t="shared" si="8"/>
        <v>2.4140012070006378E-3</v>
      </c>
      <c r="S15" s="18" t="s">
        <v>26</v>
      </c>
      <c r="T15" s="39">
        <f>CORREL(P3:P30,O3:O30)</f>
        <v>-0.11151409696861531</v>
      </c>
      <c r="U15" s="18" t="s">
        <v>397</v>
      </c>
    </row>
    <row r="16" spans="1:26">
      <c r="A16" s="4" t="s">
        <v>254</v>
      </c>
      <c r="B16">
        <v>168.4</v>
      </c>
      <c r="C16">
        <v>167.2</v>
      </c>
      <c r="D16">
        <v>173</v>
      </c>
      <c r="E16">
        <v>157.9</v>
      </c>
      <c r="F16">
        <v>163.30000000000001</v>
      </c>
      <c r="G16">
        <v>166</v>
      </c>
      <c r="H16">
        <v>167.7</v>
      </c>
      <c r="I16">
        <v>117.25</v>
      </c>
      <c r="J16" s="31">
        <f t="shared" si="1"/>
        <v>1.3237063778580128E-2</v>
      </c>
      <c r="K16" s="31">
        <f t="shared" si="2"/>
        <v>9.0525045262522634E-3</v>
      </c>
      <c r="L16" s="31">
        <f t="shared" si="3"/>
        <v>4.6457607433217848E-3</v>
      </c>
      <c r="M16" s="31">
        <f t="shared" si="4"/>
        <v>6.3734862970044612E-3</v>
      </c>
      <c r="N16" s="31">
        <f t="shared" si="5"/>
        <v>7.4028377544726534E-3</v>
      </c>
      <c r="O16" s="31">
        <f>(G16-G15)/G15</f>
        <v>3.6275695284159267E-3</v>
      </c>
      <c r="P16" s="31">
        <f t="shared" si="7"/>
        <v>0.20714506331720381</v>
      </c>
      <c r="Q16" s="22">
        <f t="shared" si="8"/>
        <v>9.6327513546056245E-3</v>
      </c>
    </row>
    <row r="17" spans="1:20">
      <c r="A17" s="4" t="s">
        <v>255</v>
      </c>
      <c r="B17">
        <v>170.8</v>
      </c>
      <c r="C17">
        <v>172.2</v>
      </c>
      <c r="D17">
        <v>174</v>
      </c>
      <c r="E17">
        <v>162.6</v>
      </c>
      <c r="F17">
        <v>164.4</v>
      </c>
      <c r="G17">
        <v>166.9</v>
      </c>
      <c r="H17">
        <v>170.1</v>
      </c>
      <c r="I17">
        <v>104.58</v>
      </c>
      <c r="J17" s="31">
        <f t="shared" si="1"/>
        <v>1.4251781472684119E-2</v>
      </c>
      <c r="K17" s="31">
        <f t="shared" si="2"/>
        <v>2.9904306220095697E-2</v>
      </c>
      <c r="L17" s="31">
        <f t="shared" si="3"/>
        <v>5.7803468208092483E-3</v>
      </c>
      <c r="M17" s="31">
        <f t="shared" si="4"/>
        <v>2.9765674477517344E-2</v>
      </c>
      <c r="N17" s="31">
        <f t="shared" si="5"/>
        <v>6.7360685854255618E-3</v>
      </c>
      <c r="O17" s="31">
        <f>(G17-G16)/G16</f>
        <v>5.4216867469879864E-3</v>
      </c>
      <c r="P17" s="31">
        <f t="shared" si="7"/>
        <v>-0.10805970149253732</v>
      </c>
      <c r="Q17" s="22">
        <f t="shared" si="8"/>
        <v>1.4311270125223648E-2</v>
      </c>
    </row>
    <row r="18" spans="1:20">
      <c r="A18" s="4" t="s">
        <v>256</v>
      </c>
      <c r="B18">
        <v>173.3</v>
      </c>
      <c r="C18">
        <v>174.6</v>
      </c>
      <c r="D18">
        <v>174.8</v>
      </c>
      <c r="E18">
        <v>163</v>
      </c>
      <c r="F18">
        <v>165.1</v>
      </c>
      <c r="G18">
        <v>167.9</v>
      </c>
      <c r="H18">
        <v>171.7</v>
      </c>
      <c r="I18">
        <v>113.34</v>
      </c>
      <c r="J18" s="31">
        <f t="shared" si="1"/>
        <v>1.4637002341920374E-2</v>
      </c>
      <c r="K18" s="31">
        <f t="shared" si="2"/>
        <v>1.3937282229965191E-2</v>
      </c>
      <c r="L18" s="31">
        <f t="shared" si="3"/>
        <v>4.5977011494253523E-3</v>
      </c>
      <c r="M18" s="31">
        <f t="shared" si="4"/>
        <v>2.4600246002460377E-3</v>
      </c>
      <c r="N18" s="31">
        <f t="shared" si="5"/>
        <v>4.257907542579006E-3</v>
      </c>
      <c r="O18" s="31">
        <f t="shared" si="5"/>
        <v>5.9916117435590173E-3</v>
      </c>
      <c r="P18" s="31">
        <f t="shared" si="7"/>
        <v>8.3763625932300675E-2</v>
      </c>
      <c r="Q18" s="22">
        <f t="shared" si="8"/>
        <v>9.4062316284538178E-3</v>
      </c>
    </row>
    <row r="19" spans="1:20" ht="15" thickBot="1">
      <c r="A19" s="4" t="s">
        <v>183</v>
      </c>
      <c r="B19">
        <v>174.9</v>
      </c>
      <c r="C19">
        <v>176</v>
      </c>
      <c r="D19">
        <v>175.4</v>
      </c>
      <c r="E19">
        <v>161.1</v>
      </c>
      <c r="F19">
        <v>165.8</v>
      </c>
      <c r="G19">
        <v>169</v>
      </c>
      <c r="H19">
        <v>172.6</v>
      </c>
      <c r="I19">
        <v>122.71</v>
      </c>
      <c r="J19" s="31">
        <f t="shared" si="1"/>
        <v>9.2325447201384546E-3</v>
      </c>
      <c r="K19" s="31">
        <f t="shared" si="2"/>
        <v>8.0183276059565042E-3</v>
      </c>
      <c r="L19" s="31">
        <f t="shared" si="3"/>
        <v>3.4324942791761686E-3</v>
      </c>
      <c r="M19" s="31">
        <f t="shared" si="4"/>
        <v>-1.1656441717791446E-2</v>
      </c>
      <c r="N19" s="31">
        <f t="shared" si="5"/>
        <v>4.2398546335555244E-3</v>
      </c>
      <c r="O19" s="31">
        <f t="shared" si="5"/>
        <v>6.5515187611673272E-3</v>
      </c>
      <c r="P19" s="31">
        <f t="shared" si="7"/>
        <v>8.267160755249682E-2</v>
      </c>
      <c r="Q19" s="22">
        <f t="shared" si="8"/>
        <v>5.2417006406523343E-3</v>
      </c>
    </row>
    <row r="20" spans="1:20">
      <c r="A20" s="4" t="s">
        <v>192</v>
      </c>
      <c r="B20">
        <v>175</v>
      </c>
      <c r="C20">
        <v>179.6</v>
      </c>
      <c r="D20">
        <v>176.1</v>
      </c>
      <c r="E20">
        <v>161.6</v>
      </c>
      <c r="F20">
        <v>166.3</v>
      </c>
      <c r="G20">
        <v>171.4</v>
      </c>
      <c r="H20">
        <v>173.4</v>
      </c>
      <c r="I20">
        <v>111.93</v>
      </c>
      <c r="J20" s="31">
        <f t="shared" si="1"/>
        <v>5.7175528873638828E-4</v>
      </c>
      <c r="K20" s="31">
        <f t="shared" si="2"/>
        <v>2.0454545454545423E-2</v>
      </c>
      <c r="L20" s="31">
        <f t="shared" si="3"/>
        <v>3.9908779931584299E-3</v>
      </c>
      <c r="M20" s="31">
        <f t="shared" si="4"/>
        <v>3.1036623215394167E-3</v>
      </c>
      <c r="N20" s="31">
        <f t="shared" si="5"/>
        <v>3.0156815440289505E-3</v>
      </c>
      <c r="O20" s="31">
        <f t="shared" si="5"/>
        <v>1.4201183431952697E-2</v>
      </c>
      <c r="P20" s="31">
        <f t="shared" si="7"/>
        <v>-8.7849401026811075E-2</v>
      </c>
      <c r="Q20" s="22">
        <f t="shared" si="8"/>
        <v>4.634994206257308E-3</v>
      </c>
      <c r="S20" s="90" t="s">
        <v>301</v>
      </c>
      <c r="T20" s="91"/>
    </row>
    <row r="21" spans="1:20" ht="15" thickBot="1">
      <c r="A21" s="4" t="s">
        <v>193</v>
      </c>
      <c r="B21">
        <v>176.3</v>
      </c>
      <c r="C21">
        <v>178.8</v>
      </c>
      <c r="D21">
        <v>176.8</v>
      </c>
      <c r="E21">
        <v>161.9</v>
      </c>
      <c r="F21">
        <v>166.9</v>
      </c>
      <c r="G21">
        <v>172.3</v>
      </c>
      <c r="H21">
        <v>174.3</v>
      </c>
      <c r="I21">
        <v>100.45</v>
      </c>
      <c r="J21" s="31">
        <f t="shared" si="1"/>
        <v>7.4285714285714935E-3</v>
      </c>
      <c r="K21" s="31">
        <f t="shared" si="2"/>
        <v>-4.4543429844097048E-3</v>
      </c>
      <c r="L21" s="31">
        <f t="shared" si="3"/>
        <v>3.9750141964793699E-3</v>
      </c>
      <c r="M21" s="31">
        <f t="shared" si="4"/>
        <v>1.8564356435644268E-3</v>
      </c>
      <c r="N21" s="31">
        <f t="shared" si="5"/>
        <v>3.6079374624172836E-3</v>
      </c>
      <c r="O21" s="31">
        <f t="shared" si="5"/>
        <v>5.2508751458576761E-3</v>
      </c>
      <c r="P21" s="31">
        <f t="shared" si="7"/>
        <v>-0.10256410256410259</v>
      </c>
      <c r="Q21" s="22">
        <f t="shared" si="8"/>
        <v>5.1903114186851538E-3</v>
      </c>
      <c r="S21" s="92"/>
      <c r="T21" s="93"/>
    </row>
    <row r="22" spans="1:20">
      <c r="A22" s="4" t="s">
        <v>184</v>
      </c>
      <c r="B22">
        <v>177.8</v>
      </c>
      <c r="C22">
        <v>179.5</v>
      </c>
      <c r="D22">
        <v>177.8</v>
      </c>
      <c r="E22">
        <v>162.30000000000001</v>
      </c>
      <c r="F22">
        <v>167.6</v>
      </c>
      <c r="G22">
        <v>173.1</v>
      </c>
      <c r="H22">
        <v>175.3</v>
      </c>
      <c r="I22">
        <v>89.76</v>
      </c>
      <c r="J22" s="31">
        <f t="shared" si="1"/>
        <v>8.5082246171298923E-3</v>
      </c>
      <c r="K22" s="31">
        <f t="shared" si="2"/>
        <v>3.9149888143176093E-3</v>
      </c>
      <c r="L22" s="31">
        <f t="shared" si="3"/>
        <v>5.6561085972850677E-3</v>
      </c>
      <c r="M22" s="31">
        <f t="shared" si="4"/>
        <v>2.470660901791264E-3</v>
      </c>
      <c r="N22" s="31">
        <f t="shared" si="5"/>
        <v>4.1941282204912443E-3</v>
      </c>
      <c r="O22" s="31">
        <f t="shared" si="5"/>
        <v>4.6430644225187636E-3</v>
      </c>
      <c r="P22" s="31">
        <f t="shared" si="7"/>
        <v>-0.10642110502737678</v>
      </c>
      <c r="Q22" s="22">
        <f t="shared" si="8"/>
        <v>5.737234652897303E-3</v>
      </c>
      <c r="S22" s="101" t="s">
        <v>427</v>
      </c>
      <c r="T22" s="103"/>
    </row>
    <row r="23" spans="1:20" ht="15" thickBot="1">
      <c r="A23" s="4" t="s">
        <v>185</v>
      </c>
      <c r="B23">
        <v>179.6</v>
      </c>
      <c r="C23">
        <v>180.5</v>
      </c>
      <c r="D23">
        <v>178.7</v>
      </c>
      <c r="E23">
        <v>162.9</v>
      </c>
      <c r="F23">
        <v>168.2</v>
      </c>
      <c r="G23">
        <v>173.4</v>
      </c>
      <c r="H23">
        <v>176.7</v>
      </c>
      <c r="I23">
        <v>93.33</v>
      </c>
      <c r="J23" s="31">
        <f t="shared" si="1"/>
        <v>1.0123734533183255E-2</v>
      </c>
      <c r="K23" s="31">
        <f t="shared" si="2"/>
        <v>5.5710306406685237E-3</v>
      </c>
      <c r="L23" s="31">
        <f t="shared" si="3"/>
        <v>5.0618672665915477E-3</v>
      </c>
      <c r="M23" s="31">
        <f t="shared" si="4"/>
        <v>3.6968576709796321E-3</v>
      </c>
      <c r="N23" s="31">
        <f t="shared" si="5"/>
        <v>3.579952267303069E-3</v>
      </c>
      <c r="O23" s="31">
        <f t="shared" si="5"/>
        <v>1.7331022530329948E-3</v>
      </c>
      <c r="P23" s="31">
        <f t="shared" si="7"/>
        <v>3.9772727272727196E-2</v>
      </c>
      <c r="Q23" s="22">
        <f t="shared" si="8"/>
        <v>7.9863091842554308E-3</v>
      </c>
      <c r="S23" s="104"/>
      <c r="T23" s="106"/>
    </row>
    <row r="24" spans="1:20">
      <c r="A24" s="4" t="s">
        <v>186</v>
      </c>
      <c r="B24">
        <v>178.3</v>
      </c>
      <c r="C24">
        <v>181.3</v>
      </c>
      <c r="D24">
        <v>179.8</v>
      </c>
      <c r="E24">
        <v>163</v>
      </c>
      <c r="F24">
        <v>168.5</v>
      </c>
      <c r="G24">
        <v>173.7</v>
      </c>
      <c r="H24">
        <v>176.5</v>
      </c>
      <c r="I24">
        <v>91.42</v>
      </c>
      <c r="J24" s="31">
        <f t="shared" si="1"/>
        <v>-7.2383073496658295E-3</v>
      </c>
      <c r="K24" s="31">
        <f t="shared" si="2"/>
        <v>4.4321329639889825E-3</v>
      </c>
      <c r="L24" s="31">
        <f t="shared" si="3"/>
        <v>6.1555679910465745E-3</v>
      </c>
      <c r="M24" s="31">
        <f t="shared" si="4"/>
        <v>6.1387354205030267E-4</v>
      </c>
      <c r="N24" s="31">
        <f t="shared" si="5"/>
        <v>1.7835909631391878E-3</v>
      </c>
      <c r="O24" s="31">
        <f t="shared" si="5"/>
        <v>1.7301038062282753E-3</v>
      </c>
      <c r="P24" s="31">
        <f t="shared" si="7"/>
        <v>-2.0465016607735954E-2</v>
      </c>
      <c r="Q24" s="22">
        <f t="shared" si="8"/>
        <v>-1.1318619128465684E-3</v>
      </c>
      <c r="S24" s="101" t="s">
        <v>428</v>
      </c>
      <c r="T24" s="103"/>
    </row>
    <row r="25" spans="1:20" ht="15" thickBot="1">
      <c r="A25" s="4" t="s">
        <v>194</v>
      </c>
      <c r="B25">
        <v>175.9</v>
      </c>
      <c r="C25">
        <v>182</v>
      </c>
      <c r="D25">
        <v>181.1</v>
      </c>
      <c r="E25">
        <v>163.4</v>
      </c>
      <c r="F25">
        <v>168.9</v>
      </c>
      <c r="G25">
        <v>174.1</v>
      </c>
      <c r="H25">
        <v>175.7</v>
      </c>
      <c r="I25">
        <v>80.92</v>
      </c>
      <c r="J25" s="31">
        <f t="shared" si="1"/>
        <v>-1.3460459899046581E-2</v>
      </c>
      <c r="K25" s="31">
        <f t="shared" si="2"/>
        <v>3.8610038610037982E-3</v>
      </c>
      <c r="L25" s="31">
        <f t="shared" si="3"/>
        <v>7.2302558398219295E-3</v>
      </c>
      <c r="M25" s="31">
        <f t="shared" si="4"/>
        <v>2.4539877300613845E-3</v>
      </c>
      <c r="N25" s="31">
        <f t="shared" si="5"/>
        <v>2.3738872403561168E-3</v>
      </c>
      <c r="O25" s="31">
        <f t="shared" si="5"/>
        <v>2.3028209556707293E-3</v>
      </c>
      <c r="P25" s="31">
        <f t="shared" si="7"/>
        <v>-0.11485451761102602</v>
      </c>
      <c r="Q25" s="22">
        <f t="shared" si="8"/>
        <v>-4.5325779036827843E-3</v>
      </c>
      <c r="S25" s="104"/>
      <c r="T25" s="106"/>
    </row>
    <row r="26" spans="1:20">
      <c r="A26" s="4" t="s">
        <v>187</v>
      </c>
      <c r="B26">
        <v>176.7</v>
      </c>
      <c r="C26">
        <v>182</v>
      </c>
      <c r="D26">
        <v>182.3</v>
      </c>
      <c r="E26">
        <v>163.6</v>
      </c>
      <c r="F26">
        <v>169.5</v>
      </c>
      <c r="G26">
        <v>174.3</v>
      </c>
      <c r="H26">
        <v>176.5</v>
      </c>
      <c r="I26">
        <v>82.5</v>
      </c>
      <c r="J26" s="31">
        <f t="shared" si="1"/>
        <v>4.5480386583284984E-3</v>
      </c>
      <c r="K26" s="31">
        <f t="shared" si="2"/>
        <v>0</v>
      </c>
      <c r="L26" s="31">
        <f t="shared" si="3"/>
        <v>6.6261733848703317E-3</v>
      </c>
      <c r="M26" s="31">
        <f t="shared" si="4"/>
        <v>1.2239902080782657E-3</v>
      </c>
      <c r="N26" s="31">
        <f t="shared" si="5"/>
        <v>3.5523978685612452E-3</v>
      </c>
      <c r="O26" s="31">
        <f t="shared" si="5"/>
        <v>1.1487650775417408E-3</v>
      </c>
      <c r="P26" s="31">
        <f t="shared" si="7"/>
        <v>1.9525457241720195E-2</v>
      </c>
      <c r="Q26" s="22">
        <f t="shared" si="8"/>
        <v>4.5532157085942599E-3</v>
      </c>
      <c r="S26" s="101" t="s">
        <v>429</v>
      </c>
      <c r="T26" s="103"/>
    </row>
    <row r="27" spans="1:20" ht="15" thickBot="1">
      <c r="A27" s="4" t="s">
        <v>188</v>
      </c>
      <c r="B27">
        <v>177</v>
      </c>
      <c r="C27">
        <v>182.1</v>
      </c>
      <c r="D27">
        <v>184.4</v>
      </c>
      <c r="E27">
        <v>164.2</v>
      </c>
      <c r="F27">
        <v>170.3</v>
      </c>
      <c r="G27">
        <v>175</v>
      </c>
      <c r="H27">
        <v>177.2</v>
      </c>
      <c r="I27">
        <v>82.59</v>
      </c>
      <c r="J27" s="31">
        <f t="shared" si="1"/>
        <v>1.6977928692700134E-3</v>
      </c>
      <c r="K27" s="31">
        <f t="shared" si="2"/>
        <v>5.4945054945051823E-4</v>
      </c>
      <c r="L27" s="31">
        <f t="shared" si="3"/>
        <v>1.1519473395501889E-2</v>
      </c>
      <c r="M27" s="31">
        <f t="shared" si="4"/>
        <v>3.6674816625916523E-3</v>
      </c>
      <c r="N27" s="31">
        <f t="shared" si="5"/>
        <v>4.7197640117994768E-3</v>
      </c>
      <c r="O27" s="31">
        <f t="shared" si="5"/>
        <v>4.016064257028047E-3</v>
      </c>
      <c r="P27" s="31">
        <f t="shared" si="7"/>
        <v>1.0909090909091322E-3</v>
      </c>
      <c r="Q27" s="22">
        <f t="shared" si="8"/>
        <v>3.9660056657223148E-3</v>
      </c>
      <c r="S27" s="104"/>
      <c r="T27" s="106"/>
    </row>
    <row r="28" spans="1:20">
      <c r="A28" s="4" t="s">
        <v>189</v>
      </c>
      <c r="B28">
        <v>177</v>
      </c>
      <c r="C28">
        <v>181.9</v>
      </c>
      <c r="D28">
        <v>184.4</v>
      </c>
      <c r="E28">
        <v>164.2</v>
      </c>
      <c r="F28">
        <v>170.3</v>
      </c>
      <c r="G28">
        <v>175</v>
      </c>
      <c r="H28">
        <v>177.2</v>
      </c>
      <c r="I28">
        <v>78.430000000000007</v>
      </c>
      <c r="J28" s="31">
        <f t="shared" si="1"/>
        <v>0</v>
      </c>
      <c r="K28" s="31">
        <f t="shared" si="2"/>
        <v>-1.0982976386600144E-3</v>
      </c>
      <c r="L28" s="31">
        <f t="shared" si="3"/>
        <v>0</v>
      </c>
      <c r="M28" s="31">
        <f t="shared" si="4"/>
        <v>0</v>
      </c>
      <c r="N28" s="31">
        <f t="shared" si="5"/>
        <v>0</v>
      </c>
      <c r="O28" s="31">
        <f t="shared" si="5"/>
        <v>0</v>
      </c>
      <c r="P28" s="31">
        <f t="shared" si="7"/>
        <v>-5.0369294103402303E-2</v>
      </c>
      <c r="Q28" s="22">
        <f t="shared" si="8"/>
        <v>0</v>
      </c>
    </row>
    <row r="29" spans="1:20">
      <c r="A29" s="4" t="s">
        <v>190</v>
      </c>
      <c r="B29">
        <v>177.9</v>
      </c>
      <c r="C29">
        <v>181.7</v>
      </c>
      <c r="D29">
        <v>185</v>
      </c>
      <c r="E29">
        <v>164.5</v>
      </c>
      <c r="F29">
        <v>170.7</v>
      </c>
      <c r="G29">
        <v>176.4</v>
      </c>
      <c r="H29">
        <v>178.1</v>
      </c>
      <c r="I29">
        <v>84.64</v>
      </c>
      <c r="J29" s="31">
        <f t="shared" si="1"/>
        <v>5.0847457627118961E-3</v>
      </c>
      <c r="K29" s="31">
        <f t="shared" si="2"/>
        <v>-1.0995052226499013E-3</v>
      </c>
      <c r="L29" s="31">
        <f t="shared" si="3"/>
        <v>3.2537960954446546E-3</v>
      </c>
      <c r="M29" s="31">
        <f t="shared" si="4"/>
        <v>1.8270401948843567E-3</v>
      </c>
      <c r="N29" s="31">
        <f t="shared" si="5"/>
        <v>2.3487962419258793E-3</v>
      </c>
      <c r="O29" s="31">
        <f t="shared" si="5"/>
        <v>8.0000000000000331E-3</v>
      </c>
      <c r="P29" s="31">
        <f t="shared" si="7"/>
        <v>7.917888563049845E-2</v>
      </c>
      <c r="Q29" s="22">
        <f t="shared" si="8"/>
        <v>5.0790067720090613E-3</v>
      </c>
    </row>
    <row r="30" spans="1:20" ht="15" thickBot="1">
      <c r="A30" s="6" t="s">
        <v>191</v>
      </c>
      <c r="B30" s="11">
        <v>179.1</v>
      </c>
      <c r="C30" s="11">
        <v>182.8</v>
      </c>
      <c r="D30" s="11">
        <v>185.7</v>
      </c>
      <c r="E30" s="11">
        <v>164.8</v>
      </c>
      <c r="F30" s="11">
        <v>171.2</v>
      </c>
      <c r="G30" s="11">
        <v>177.1</v>
      </c>
      <c r="H30" s="11">
        <v>179.1</v>
      </c>
      <c r="I30" s="11">
        <v>75.47</v>
      </c>
      <c r="J30" s="33">
        <f t="shared" si="1"/>
        <v>6.7453625632377095E-3</v>
      </c>
      <c r="K30" s="33">
        <f t="shared" si="2"/>
        <v>6.0539350577876877E-3</v>
      </c>
      <c r="L30" s="33">
        <f t="shared" si="3"/>
        <v>3.7837837837837222E-3</v>
      </c>
      <c r="M30" s="33">
        <f t="shared" si="4"/>
        <v>1.8237082066869992E-3</v>
      </c>
      <c r="N30" s="33">
        <f t="shared" si="5"/>
        <v>2.9291154071470417E-3</v>
      </c>
      <c r="O30" s="33">
        <f>(G30-G29)/G29</f>
        <v>3.9682539682539038E-3</v>
      </c>
      <c r="P30" s="33">
        <f t="shared" si="7"/>
        <v>-0.1083412098298677</v>
      </c>
      <c r="Q30" s="23">
        <f t="shared" si="8"/>
        <v>5.614823133071308E-3</v>
      </c>
    </row>
  </sheetData>
  <sortState xmlns:xlrd2="http://schemas.microsoft.com/office/spreadsheetml/2017/richdata2" ref="S10:T16">
    <sortCondition descending="1" ref="T10:T16"/>
  </sortState>
  <mergeCells count="5">
    <mergeCell ref="S26:T27"/>
    <mergeCell ref="T2:Z4"/>
    <mergeCell ref="S22:T23"/>
    <mergeCell ref="S20:T21"/>
    <mergeCell ref="S24:T25"/>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FE2B8F-0469-4C05-8C14-24A7CECCDFC7}">
  <dimension ref="A1:BR35"/>
  <sheetViews>
    <sheetView topLeftCell="BG1" zoomScale="70" zoomScaleNormal="70" workbookViewId="0">
      <selection activeCell="BU31" sqref="BU31"/>
    </sheetView>
  </sheetViews>
  <sheetFormatPr defaultRowHeight="14.6"/>
  <cols>
    <col min="1" max="1" width="4.921875" bestFit="1" customWidth="1"/>
    <col min="2" max="2" width="9.4609375" bestFit="1" customWidth="1"/>
    <col min="3" max="3" width="17.765625" hidden="1" customWidth="1"/>
    <col min="4" max="4" width="24.07421875" style="60" hidden="1" customWidth="1"/>
    <col min="5" max="5" width="11.765625" hidden="1" customWidth="1"/>
    <col min="6" max="6" width="17.53515625" style="60" bestFit="1" customWidth="1"/>
    <col min="7" max="7" width="5.921875" hidden="1" customWidth="1"/>
    <col min="8" max="8" width="12.69140625" style="60" hidden="1" customWidth="1"/>
    <col min="9" max="9" width="15.3046875" hidden="1" customWidth="1"/>
    <col min="10" max="10" width="21.69140625" style="60" hidden="1" customWidth="1"/>
    <col min="11" max="11" width="10.765625" hidden="1" customWidth="1"/>
    <col min="12" max="12" width="17.07421875" style="60" hidden="1" customWidth="1"/>
    <col min="13" max="13" width="5.921875" hidden="1" customWidth="1"/>
    <col min="14" max="14" width="12.69140625" style="60" hidden="1" customWidth="1"/>
    <col min="15" max="15" width="9.53515625" hidden="1" customWidth="1"/>
    <col min="16" max="16" width="15.765625" style="60" hidden="1" customWidth="1"/>
    <col min="17" max="17" width="16.921875" hidden="1" customWidth="1"/>
    <col min="18" max="18" width="23.23046875" style="60" hidden="1" customWidth="1"/>
    <col min="19" max="19" width="20.53515625" hidden="1" customWidth="1"/>
    <col min="20" max="20" width="26.84375" style="60" hidden="1" customWidth="1"/>
    <col min="21" max="21" width="5.921875" hidden="1" customWidth="1"/>
    <col min="22" max="22" width="12.69140625" style="60" hidden="1" customWidth="1"/>
    <col min="23" max="23" width="20.61328125" hidden="1" customWidth="1"/>
    <col min="24" max="24" width="27" style="60" hidden="1" customWidth="1"/>
    <col min="25" max="25" width="29.69140625" hidden="1" customWidth="1"/>
    <col min="26" max="26" width="36" style="60" hidden="1" customWidth="1"/>
    <col min="27" max="27" width="16.84375" hidden="1" customWidth="1"/>
    <col min="28" max="28" width="23.23046875" style="60" hidden="1" customWidth="1"/>
    <col min="29" max="29" width="24" hidden="1" customWidth="1"/>
    <col min="30" max="30" width="30.3046875" style="60" hidden="1" customWidth="1"/>
    <col min="31" max="31" width="7.4609375" hidden="1" customWidth="1"/>
    <col min="32" max="32" width="13.69140625" style="60" hidden="1" customWidth="1"/>
    <col min="33" max="33" width="8.3828125" hidden="1" customWidth="1"/>
    <col min="34" max="34" width="14.69140625" style="60" hidden="1" customWidth="1"/>
    <col min="35" max="35" width="18.765625" hidden="1" customWidth="1"/>
    <col min="36" max="36" width="25.07421875" style="60" hidden="1" customWidth="1"/>
    <col min="37" max="37" width="7.3046875" hidden="1" customWidth="1"/>
    <col min="38" max="38" width="13.69140625" style="60" hidden="1" customWidth="1"/>
    <col min="39" max="39" width="11.61328125" hidden="1" customWidth="1"/>
    <col min="40" max="40" width="17.921875" style="60" bestFit="1" customWidth="1"/>
    <col min="41" max="41" width="25.15234375" hidden="1" customWidth="1"/>
    <col min="42" max="42" width="31.53515625" style="60" hidden="1" customWidth="1"/>
    <col min="43" max="43" width="6.15234375" hidden="1" customWidth="1"/>
    <col min="44" max="44" width="12.765625" style="60" hidden="1" customWidth="1"/>
    <col min="45" max="45" width="25.23046875" hidden="1" customWidth="1"/>
    <col min="46" max="46" width="31.61328125" style="60" hidden="1" customWidth="1"/>
    <col min="47" max="47" width="23.07421875" hidden="1" customWidth="1"/>
    <col min="48" max="48" width="29.84375" style="60" hidden="1" customWidth="1"/>
    <col min="49" max="49" width="8.765625" hidden="1" customWidth="1"/>
    <col min="50" max="50" width="15.07421875" style="60" hidden="1" customWidth="1"/>
    <col min="51" max="51" width="21.15234375" hidden="1" customWidth="1"/>
    <col min="52" max="52" width="28" style="60" hidden="1" customWidth="1"/>
    <col min="53" max="53" width="12.23046875" hidden="1" customWidth="1"/>
    <col min="54" max="54" width="18.61328125" style="60" hidden="1" customWidth="1"/>
    <col min="55" max="55" width="11.921875" hidden="1" customWidth="1"/>
    <col min="56" max="56" width="18.23046875" style="60" hidden="1" customWidth="1"/>
    <col min="57" max="57" width="8.3046875" hidden="1" customWidth="1"/>
    <col min="58" max="58" width="14.61328125" style="60" bestFit="1" customWidth="1"/>
    <col min="59" max="59" width="14.61328125" customWidth="1"/>
    <col min="60" max="60" width="36.4609375" customWidth="1"/>
    <col min="61" max="61" width="31.3828125" customWidth="1"/>
    <col min="62" max="62" width="24.69140625" customWidth="1"/>
  </cols>
  <sheetData>
    <row r="1" spans="1:62" ht="15" thickBot="1">
      <c r="A1" s="24" t="s">
        <v>1</v>
      </c>
      <c r="B1" s="25" t="s">
        <v>2</v>
      </c>
      <c r="C1" s="25" t="s">
        <v>3</v>
      </c>
      <c r="D1" s="59" t="s">
        <v>348</v>
      </c>
      <c r="E1" s="25" t="s">
        <v>4</v>
      </c>
      <c r="F1" s="59" t="s">
        <v>349</v>
      </c>
      <c r="G1" s="25" t="s">
        <v>5</v>
      </c>
      <c r="H1" s="59" t="s">
        <v>350</v>
      </c>
      <c r="I1" s="25" t="s">
        <v>6</v>
      </c>
      <c r="J1" s="59" t="s">
        <v>351</v>
      </c>
      <c r="K1" s="25" t="s">
        <v>7</v>
      </c>
      <c r="L1" s="59" t="s">
        <v>352</v>
      </c>
      <c r="M1" s="25" t="s">
        <v>8</v>
      </c>
      <c r="N1" s="59" t="s">
        <v>353</v>
      </c>
      <c r="O1" s="25" t="s">
        <v>9</v>
      </c>
      <c r="P1" s="59" t="s">
        <v>354</v>
      </c>
      <c r="Q1" s="25" t="s">
        <v>10</v>
      </c>
      <c r="R1" s="59" t="s">
        <v>355</v>
      </c>
      <c r="S1" s="25" t="s">
        <v>11</v>
      </c>
      <c r="T1" s="59" t="s">
        <v>356</v>
      </c>
      <c r="U1" s="25" t="s">
        <v>12</v>
      </c>
      <c r="V1" s="59" t="s">
        <v>357</v>
      </c>
      <c r="W1" s="25" t="s">
        <v>13</v>
      </c>
      <c r="X1" s="59" t="s">
        <v>358</v>
      </c>
      <c r="Y1" s="25" t="s">
        <v>14</v>
      </c>
      <c r="Z1" s="59" t="s">
        <v>359</v>
      </c>
      <c r="AA1" s="25" t="s">
        <v>15</v>
      </c>
      <c r="AB1" s="59" t="s">
        <v>360</v>
      </c>
      <c r="AC1" s="25" t="s">
        <v>16</v>
      </c>
      <c r="AD1" s="59" t="s">
        <v>361</v>
      </c>
      <c r="AE1" s="25" t="s">
        <v>17</v>
      </c>
      <c r="AF1" s="59" t="s">
        <v>362</v>
      </c>
      <c r="AG1" s="25" t="s">
        <v>18</v>
      </c>
      <c r="AH1" s="59" t="s">
        <v>363</v>
      </c>
      <c r="AI1" s="25" t="s">
        <v>19</v>
      </c>
      <c r="AJ1" s="59" t="s">
        <v>364</v>
      </c>
      <c r="AK1" s="25" t="s">
        <v>20</v>
      </c>
      <c r="AL1" s="59" t="s">
        <v>365</v>
      </c>
      <c r="AM1" s="25" t="s">
        <v>21</v>
      </c>
      <c r="AN1" s="59" t="s">
        <v>366</v>
      </c>
      <c r="AO1" s="25" t="s">
        <v>22</v>
      </c>
      <c r="AP1" s="59" t="s">
        <v>260</v>
      </c>
      <c r="AQ1" s="25" t="s">
        <v>23</v>
      </c>
      <c r="AR1" s="59" t="s">
        <v>367</v>
      </c>
      <c r="AS1" s="25" t="s">
        <v>24</v>
      </c>
      <c r="AT1" s="59" t="s">
        <v>368</v>
      </c>
      <c r="AU1" s="25" t="s">
        <v>25</v>
      </c>
      <c r="AV1" s="59" t="s">
        <v>369</v>
      </c>
      <c r="AW1" s="25" t="s">
        <v>26</v>
      </c>
      <c r="AX1" s="59" t="s">
        <v>273</v>
      </c>
      <c r="AY1" s="25" t="s">
        <v>27</v>
      </c>
      <c r="AZ1" s="59" t="s">
        <v>370</v>
      </c>
      <c r="BA1" s="25" t="s">
        <v>28</v>
      </c>
      <c r="BB1" s="59" t="s">
        <v>371</v>
      </c>
      <c r="BC1" s="25" t="s">
        <v>29</v>
      </c>
      <c r="BD1" s="59" t="s">
        <v>372</v>
      </c>
      <c r="BE1" s="26" t="s">
        <v>345</v>
      </c>
      <c r="BF1" s="61" t="s">
        <v>373</v>
      </c>
    </row>
    <row r="2" spans="1:62" ht="15" thickBot="1">
      <c r="A2" s="4">
        <v>2021</v>
      </c>
      <c r="B2" t="s">
        <v>31</v>
      </c>
      <c r="C2">
        <v>144.9</v>
      </c>
      <c r="D2" s="31"/>
      <c r="E2">
        <v>190.1</v>
      </c>
      <c r="F2" s="31"/>
      <c r="G2">
        <v>175.3</v>
      </c>
      <c r="H2" s="31"/>
      <c r="I2">
        <v>154.1</v>
      </c>
      <c r="J2" s="31"/>
      <c r="K2">
        <v>150.9</v>
      </c>
      <c r="L2" s="31"/>
      <c r="M2">
        <v>149.6</v>
      </c>
      <c r="N2" s="31"/>
      <c r="O2">
        <v>194.2</v>
      </c>
      <c r="P2" s="31"/>
      <c r="Q2">
        <v>160.4</v>
      </c>
      <c r="R2" s="31"/>
      <c r="S2">
        <v>114.6</v>
      </c>
      <c r="T2" s="31"/>
      <c r="U2">
        <v>164</v>
      </c>
      <c r="V2" s="31"/>
      <c r="W2">
        <v>151.80000000000001</v>
      </c>
      <c r="X2" s="31"/>
      <c r="Y2">
        <v>165.6</v>
      </c>
      <c r="Z2" s="31"/>
      <c r="AA2">
        <v>161</v>
      </c>
      <c r="AB2" s="31"/>
      <c r="AC2">
        <v>186.5</v>
      </c>
      <c r="AD2" s="31"/>
      <c r="AE2">
        <v>155.5</v>
      </c>
      <c r="AF2" s="31"/>
      <c r="AG2">
        <v>146.1</v>
      </c>
      <c r="AH2" s="31"/>
      <c r="AI2">
        <v>154.19999999999999</v>
      </c>
      <c r="AJ2" s="31"/>
      <c r="AK2">
        <v>157.69999999999999</v>
      </c>
      <c r="AL2" s="31"/>
      <c r="AM2">
        <v>147.9</v>
      </c>
      <c r="AN2" s="31"/>
      <c r="AO2">
        <v>150</v>
      </c>
      <c r="AP2" s="31"/>
      <c r="AQ2">
        <v>159.30000000000001</v>
      </c>
      <c r="AR2" s="31"/>
      <c r="AS2">
        <v>141.9</v>
      </c>
      <c r="AT2" s="31"/>
      <c r="AU2">
        <v>149.6</v>
      </c>
      <c r="AV2" s="31"/>
      <c r="AW2">
        <v>159.19999999999999</v>
      </c>
      <c r="AX2" s="31"/>
      <c r="AY2">
        <v>156.80000000000001</v>
      </c>
      <c r="AZ2" s="31"/>
      <c r="BA2">
        <v>151.9</v>
      </c>
      <c r="BB2" s="31"/>
      <c r="BC2">
        <v>157.30000000000001</v>
      </c>
      <c r="BD2" s="31"/>
      <c r="BE2" s="5">
        <v>54.77</v>
      </c>
      <c r="BF2" s="22"/>
    </row>
    <row r="3" spans="1:62" ht="14.25" customHeight="1">
      <c r="A3" s="4">
        <v>2021</v>
      </c>
      <c r="B3" t="s">
        <v>36</v>
      </c>
      <c r="C3">
        <v>144.30000000000001</v>
      </c>
      <c r="D3" s="31">
        <f>(C3-C2)/C2</f>
        <v>-4.1407867494823621E-3</v>
      </c>
      <c r="E3">
        <v>186.5</v>
      </c>
      <c r="F3" s="31">
        <f>(E3-E2)/E2</f>
        <v>-1.8937401367701182E-2</v>
      </c>
      <c r="G3">
        <v>168.7</v>
      </c>
      <c r="H3" s="31">
        <f>(G3-G2)/G2</f>
        <v>-3.764974329720492E-2</v>
      </c>
      <c r="I3">
        <v>154.69999999999999</v>
      </c>
      <c r="J3" s="31">
        <f>(I3-I2)/I2</f>
        <v>3.893575600259535E-3</v>
      </c>
      <c r="K3">
        <v>158.69999999999999</v>
      </c>
      <c r="L3" s="31">
        <f>(K3-K2)/K2</f>
        <v>5.1689860834989942E-2</v>
      </c>
      <c r="M3">
        <v>150.69999999999999</v>
      </c>
      <c r="N3" s="31">
        <f>(M3-M2)/M2</f>
        <v>7.3529411764705508E-3</v>
      </c>
      <c r="O3">
        <v>160</v>
      </c>
      <c r="P3" s="31">
        <f>(O3-O2)/O2</f>
        <v>-0.17610710607621005</v>
      </c>
      <c r="Q3">
        <v>158.80000000000001</v>
      </c>
      <c r="R3" s="31">
        <f>(Q3-Q2)/Q2</f>
        <v>-9.9750623441396159E-3</v>
      </c>
      <c r="S3">
        <v>112.8</v>
      </c>
      <c r="T3" s="31">
        <f>(S3-S2)/S2</f>
        <v>-1.5706806282722488E-2</v>
      </c>
      <c r="U3">
        <v>164.2</v>
      </c>
      <c r="V3" s="31">
        <f>(U3-U2)/U2</f>
        <v>1.2195121951218818E-3</v>
      </c>
      <c r="W3">
        <v>155.5</v>
      </c>
      <c r="X3" s="31">
        <f>(W3-W2)/W2</f>
        <v>2.4374176548089516E-2</v>
      </c>
      <c r="Y3">
        <v>167.5</v>
      </c>
      <c r="Z3" s="31">
        <f>(Y3-Y2)/Y2</f>
        <v>1.1473429951690857E-2</v>
      </c>
      <c r="AA3">
        <v>156.9</v>
      </c>
      <c r="AB3" s="31">
        <f>(AA3-AA2)/AA2</f>
        <v>-2.5465838509316736E-2</v>
      </c>
      <c r="AC3">
        <v>188.3</v>
      </c>
      <c r="AD3" s="31">
        <f>(AC3-AC2)/AC2</f>
        <v>9.6514745308311604E-3</v>
      </c>
      <c r="AE3">
        <v>157.19999999999999</v>
      </c>
      <c r="AF3" s="31">
        <f>(AE3-AE2)/AE2</f>
        <v>1.09324758842443E-2</v>
      </c>
      <c r="AG3">
        <v>147.4</v>
      </c>
      <c r="AH3" s="31">
        <f>(AG3-AG2)/AG2</f>
        <v>8.8980150581794079E-3</v>
      </c>
      <c r="AI3">
        <v>155.80000000000001</v>
      </c>
      <c r="AJ3" s="31">
        <f>(AI3-AI2)/AI2</f>
        <v>1.0376134889753716E-2</v>
      </c>
      <c r="AK3">
        <v>159.80000000000001</v>
      </c>
      <c r="AL3" s="31">
        <f>(AK3-AK2)/AK2</f>
        <v>1.331642358909336E-2</v>
      </c>
      <c r="AM3">
        <v>152.4</v>
      </c>
      <c r="AN3" s="31">
        <f>(AM3-AM2)/AM2</f>
        <v>3.0425963488843813E-2</v>
      </c>
      <c r="AO3">
        <v>150.9</v>
      </c>
      <c r="AP3" s="31">
        <f>(AO3-AO2)/AO2</f>
        <v>6.0000000000000383E-3</v>
      </c>
      <c r="AQ3">
        <v>161.30000000000001</v>
      </c>
      <c r="AR3" s="31">
        <f>(AQ3-AQ2)/AQ2</f>
        <v>1.2554927809165096E-2</v>
      </c>
      <c r="AS3">
        <v>145.1</v>
      </c>
      <c r="AT3" s="31">
        <f>(AS3-AS2)/AS2</f>
        <v>2.2551092318534097E-2</v>
      </c>
      <c r="AU3">
        <v>151.5</v>
      </c>
      <c r="AV3" s="31">
        <f>(AU3-AU2)/AU2</f>
        <v>1.2700534759358327E-2</v>
      </c>
      <c r="AW3">
        <v>159.5</v>
      </c>
      <c r="AX3" s="31">
        <f>(AW3-AW2)/AW2</f>
        <v>1.8844221105528353E-3</v>
      </c>
      <c r="AY3">
        <v>155.80000000000001</v>
      </c>
      <c r="AZ3" s="31">
        <f>(AY3-AY2)/AY2</f>
        <v>-6.3775510204081625E-3</v>
      </c>
      <c r="BA3">
        <v>153.4</v>
      </c>
      <c r="BB3" s="31">
        <f>(BA3-BA2)/BA2</f>
        <v>9.8749177090190904E-3</v>
      </c>
      <c r="BC3">
        <v>156.6</v>
      </c>
      <c r="BD3" s="31">
        <f>(BC3-BC2)/BC2</f>
        <v>-4.4500953591863762E-3</v>
      </c>
      <c r="BE3" s="5">
        <v>62.28</v>
      </c>
      <c r="BF3" s="22">
        <f>(BE3-BE2)/BE2</f>
        <v>0.1371188606901588</v>
      </c>
      <c r="BH3" s="120" t="s">
        <v>394</v>
      </c>
      <c r="BI3" s="121"/>
    </row>
    <row r="4" spans="1:62">
      <c r="A4" s="4">
        <v>2021</v>
      </c>
      <c r="B4" t="s">
        <v>38</v>
      </c>
      <c r="C4">
        <v>144.1</v>
      </c>
      <c r="D4" s="31">
        <f t="shared" ref="D4:D30" si="0">(C4-C3)/C3</f>
        <v>-1.386001386001504E-3</v>
      </c>
      <c r="E4">
        <v>192.2</v>
      </c>
      <c r="F4" s="31">
        <f t="shared" ref="F4:F30" si="1">(E4-E3)/E3</f>
        <v>3.0563002680965085E-2</v>
      </c>
      <c r="G4">
        <v>163.80000000000001</v>
      </c>
      <c r="H4" s="31">
        <f t="shared" ref="H4:H30" si="2">(G4-G3)/G3</f>
        <v>-2.9045643153526837E-2</v>
      </c>
      <c r="I4">
        <v>154.9</v>
      </c>
      <c r="J4" s="31">
        <f t="shared" ref="J4:J30" si="3">(I4-I3)/I3</f>
        <v>1.2928248222366973E-3</v>
      </c>
      <c r="K4">
        <v>163.9</v>
      </c>
      <c r="L4" s="31">
        <f t="shared" ref="L4:L30" si="4">(K4-K3)/K3</f>
        <v>3.2766225582860853E-2</v>
      </c>
      <c r="M4">
        <v>153.69999999999999</v>
      </c>
      <c r="N4" s="31">
        <f t="shared" ref="N4:N30" si="5">(M4-M3)/M3</f>
        <v>1.9907100199071003E-2</v>
      </c>
      <c r="O4">
        <v>149.5</v>
      </c>
      <c r="P4" s="31">
        <f t="shared" ref="P4:P30" si="6">(O4-O3)/O3</f>
        <v>-6.5625000000000003E-2</v>
      </c>
      <c r="Q4">
        <v>159.80000000000001</v>
      </c>
      <c r="R4" s="31">
        <f t="shared" ref="R4:R30" si="7">(Q4-Q3)/Q3</f>
        <v>6.2972292191435762E-3</v>
      </c>
      <c r="S4">
        <v>112.6</v>
      </c>
      <c r="T4" s="31">
        <f t="shared" ref="T4:T30" si="8">(S4-S3)/S3</f>
        <v>-1.7730496453900962E-3</v>
      </c>
      <c r="U4">
        <v>163.5</v>
      </c>
      <c r="V4" s="31">
        <f t="shared" ref="V4:V30" si="9">(U4-U3)/U3</f>
        <v>-4.2630937880632682E-3</v>
      </c>
      <c r="W4">
        <v>156.5</v>
      </c>
      <c r="X4" s="31">
        <f t="shared" ref="X4:X30" si="10">(W4-W3)/W3</f>
        <v>6.4308681672025723E-3</v>
      </c>
      <c r="Y4">
        <v>168.2</v>
      </c>
      <c r="Z4" s="31">
        <f t="shared" ref="Z4:Z30" si="11">(Y4-Y3)/Y3</f>
        <v>4.1791044776118723E-3</v>
      </c>
      <c r="AA4">
        <v>156.69999999999999</v>
      </c>
      <c r="AB4" s="31">
        <f t="shared" ref="AB4:AB30" si="12">(AA4-AA3)/AA3</f>
        <v>-1.2746972594010009E-3</v>
      </c>
      <c r="AC4">
        <v>188.1</v>
      </c>
      <c r="AD4" s="31">
        <f t="shared" ref="AD4:AD30" si="13">(AC4-AC3)/AC3</f>
        <v>-1.0621348911312642E-3</v>
      </c>
      <c r="AE4">
        <v>157.80000000000001</v>
      </c>
      <c r="AF4" s="31">
        <f t="shared" ref="AF4:AF30" si="14">(AE4-AE3)/AE3</f>
        <v>3.8167938931299157E-3</v>
      </c>
      <c r="AG4">
        <v>147.9</v>
      </c>
      <c r="AH4" s="31">
        <f t="shared" ref="AH4:AH30" si="15">(AG4-AG3)/AG3</f>
        <v>3.3921302578018993E-3</v>
      </c>
      <c r="AI4">
        <v>156.4</v>
      </c>
      <c r="AJ4" s="31">
        <f t="shared" ref="AJ4:AJ30" si="16">(AI4-AI3)/AI3</f>
        <v>3.8510911424903356E-3</v>
      </c>
      <c r="AK4">
        <v>159.9</v>
      </c>
      <c r="AL4" s="31">
        <f t="shared" ref="AL4:AL30" si="17">(AK4-AK3)/AK3</f>
        <v>6.2578222778469526E-4</v>
      </c>
      <c r="AM4">
        <v>155.5</v>
      </c>
      <c r="AN4" s="31">
        <f t="shared" ref="AN4:AN30" si="18">(AM4-AM3)/AM3</f>
        <v>2.0341207349081326E-2</v>
      </c>
      <c r="AO4">
        <v>151.19999999999999</v>
      </c>
      <c r="AP4" s="31">
        <f t="shared" ref="AP4:AP30" si="19">(AO4-AO3)/AO3</f>
        <v>1.9880715705764278E-3</v>
      </c>
      <c r="AQ4">
        <v>161.69999999999999</v>
      </c>
      <c r="AR4" s="31">
        <f t="shared" ref="AR4:AR30" si="20">(AQ4-AQ3)/AQ3</f>
        <v>2.4798512089273233E-3</v>
      </c>
      <c r="AS4">
        <v>146.19999999999999</v>
      </c>
      <c r="AT4" s="31">
        <f t="shared" ref="AT4:AT30" si="21">(AS4-AS3)/AS3</f>
        <v>7.5809786354238068E-3</v>
      </c>
      <c r="AU4">
        <v>152.6</v>
      </c>
      <c r="AV4" s="31">
        <f t="shared" ref="AV4:AV30" si="22">(AU4-AU3)/AU3</f>
        <v>7.2607260726072235E-3</v>
      </c>
      <c r="AW4">
        <v>160.19999999999999</v>
      </c>
      <c r="AX4" s="31">
        <f t="shared" ref="AX4:AX30" si="23">(AW4-AW3)/AW3</f>
        <v>4.3887147335422488E-3</v>
      </c>
      <c r="AY4">
        <v>153.80000000000001</v>
      </c>
      <c r="AZ4" s="31">
        <f t="shared" ref="AZ4:AZ30" si="24">(AY4-AY3)/AY3</f>
        <v>-1.2836970474967907E-2</v>
      </c>
      <c r="BA4">
        <v>153.80000000000001</v>
      </c>
      <c r="BB4" s="31">
        <f t="shared" ref="BB4:BB30" si="25">(BA4-BA3)/BA3</f>
        <v>2.6075619295958647E-3</v>
      </c>
      <c r="BC4">
        <v>156.80000000000001</v>
      </c>
      <c r="BD4" s="31">
        <f t="shared" ref="BD4:BD30" si="26">(BC4-BC3)/BC3</f>
        <v>1.2771392081737999E-3</v>
      </c>
      <c r="BE4" s="5">
        <v>65.41</v>
      </c>
      <c r="BF4" s="22">
        <f t="shared" ref="BF4:BF30" si="27">(BE4-BE3)/BE3</f>
        <v>5.0256904303147006E-2</v>
      </c>
      <c r="BH4" s="122"/>
      <c r="BI4" s="123"/>
    </row>
    <row r="5" spans="1:62">
      <c r="A5" s="4">
        <v>2021</v>
      </c>
      <c r="B5" t="s">
        <v>39</v>
      </c>
      <c r="C5">
        <v>144.30000000000001</v>
      </c>
      <c r="D5" s="31">
        <f t="shared" si="0"/>
        <v>1.3879250520473078E-3</v>
      </c>
      <c r="E5">
        <v>198</v>
      </c>
      <c r="F5" s="31">
        <f t="shared" si="1"/>
        <v>3.0176899063475607E-2</v>
      </c>
      <c r="G5">
        <v>164.6</v>
      </c>
      <c r="H5" s="31">
        <f t="shared" si="2"/>
        <v>4.8840048840047799E-3</v>
      </c>
      <c r="I5">
        <v>155.4</v>
      </c>
      <c r="J5" s="31">
        <f t="shared" si="3"/>
        <v>3.2278889606197547E-3</v>
      </c>
      <c r="K5">
        <v>170.1</v>
      </c>
      <c r="L5" s="31">
        <f t="shared" si="4"/>
        <v>3.7827943868212255E-2</v>
      </c>
      <c r="M5">
        <v>164.4</v>
      </c>
      <c r="N5" s="31">
        <f t="shared" si="5"/>
        <v>6.9616135328562256E-2</v>
      </c>
      <c r="O5">
        <v>144.1</v>
      </c>
      <c r="P5" s="31">
        <f t="shared" si="6"/>
        <v>-3.6120401337792679E-2</v>
      </c>
      <c r="Q5">
        <v>161.69999999999999</v>
      </c>
      <c r="R5" s="31">
        <f t="shared" si="7"/>
        <v>1.1889862327909744E-2</v>
      </c>
      <c r="S5">
        <v>113.1</v>
      </c>
      <c r="T5" s="31">
        <f t="shared" si="8"/>
        <v>4.4404973357015992E-3</v>
      </c>
      <c r="U5">
        <v>163.9</v>
      </c>
      <c r="V5" s="31">
        <f t="shared" si="9"/>
        <v>2.4464831804281695E-3</v>
      </c>
      <c r="W5">
        <v>157.6</v>
      </c>
      <c r="X5" s="31">
        <f t="shared" si="10"/>
        <v>7.0287539936101876E-3</v>
      </c>
      <c r="Y5">
        <v>168.9</v>
      </c>
      <c r="Z5" s="31">
        <f t="shared" si="11"/>
        <v>4.1617122473247151E-3</v>
      </c>
      <c r="AA5">
        <v>158</v>
      </c>
      <c r="AB5" s="31">
        <f t="shared" si="12"/>
        <v>8.2961072112317253E-3</v>
      </c>
      <c r="AC5">
        <v>188.8</v>
      </c>
      <c r="AD5" s="31">
        <f t="shared" si="13"/>
        <v>3.7214247740564436E-3</v>
      </c>
      <c r="AE5">
        <v>158.80000000000001</v>
      </c>
      <c r="AF5" s="31">
        <f t="shared" si="14"/>
        <v>6.3371356147021544E-3</v>
      </c>
      <c r="AG5">
        <v>148.5</v>
      </c>
      <c r="AH5" s="31">
        <f t="shared" si="15"/>
        <v>4.0567951318458036E-3</v>
      </c>
      <c r="AI5">
        <v>157.30000000000001</v>
      </c>
      <c r="AJ5" s="31">
        <f t="shared" si="16"/>
        <v>5.7544757033248439E-3</v>
      </c>
      <c r="AK5">
        <v>161.4</v>
      </c>
      <c r="AL5" s="31">
        <f t="shared" si="17"/>
        <v>9.3808630393996239E-3</v>
      </c>
      <c r="AM5">
        <v>155.6</v>
      </c>
      <c r="AN5" s="31">
        <f t="shared" si="18"/>
        <v>6.4308681672022071E-4</v>
      </c>
      <c r="AO5">
        <v>151.80000000000001</v>
      </c>
      <c r="AP5" s="31">
        <f t="shared" si="19"/>
        <v>3.968253968254119E-3</v>
      </c>
      <c r="AQ5">
        <v>162.30000000000001</v>
      </c>
      <c r="AR5" s="31">
        <f t="shared" si="20"/>
        <v>3.7105751391467087E-3</v>
      </c>
      <c r="AS5">
        <v>146.6</v>
      </c>
      <c r="AT5" s="31">
        <f t="shared" si="21"/>
        <v>2.7359781121751416E-3</v>
      </c>
      <c r="AU5">
        <v>153.19999999999999</v>
      </c>
      <c r="AV5" s="31">
        <f t="shared" si="22"/>
        <v>3.9318479685451794E-3</v>
      </c>
      <c r="AW5">
        <v>160.30000000000001</v>
      </c>
      <c r="AX5" s="31">
        <f t="shared" si="23"/>
        <v>6.2421972534346278E-4</v>
      </c>
      <c r="AY5">
        <v>155.4</v>
      </c>
      <c r="AZ5" s="31">
        <f t="shared" si="24"/>
        <v>1.0403120936280846E-2</v>
      </c>
      <c r="BA5">
        <v>154.4</v>
      </c>
      <c r="BB5" s="31">
        <f t="shared" si="25"/>
        <v>3.9011703511052944E-3</v>
      </c>
      <c r="BC5">
        <v>157.80000000000001</v>
      </c>
      <c r="BD5" s="31">
        <f t="shared" si="26"/>
        <v>6.3775510204081625E-3</v>
      </c>
      <c r="BE5" s="5">
        <v>64.81</v>
      </c>
      <c r="BF5" s="22">
        <f t="shared" si="27"/>
        <v>-9.1729093410792585E-3</v>
      </c>
      <c r="BH5" s="122"/>
      <c r="BI5" s="123"/>
    </row>
    <row r="6" spans="1:62" ht="15" thickBot="1">
      <c r="A6" s="4">
        <v>2021</v>
      </c>
      <c r="B6" t="s">
        <v>41</v>
      </c>
      <c r="C6">
        <v>146.30000000000001</v>
      </c>
      <c r="D6" s="31">
        <f t="shared" si="0"/>
        <v>1.386001386001386E-2</v>
      </c>
      <c r="E6">
        <v>200.5</v>
      </c>
      <c r="F6" s="31">
        <f t="shared" si="1"/>
        <v>1.2626262626262626E-2</v>
      </c>
      <c r="G6">
        <v>170.3</v>
      </c>
      <c r="H6" s="31">
        <f t="shared" si="2"/>
        <v>3.4629404617254056E-2</v>
      </c>
      <c r="I6">
        <v>156.1</v>
      </c>
      <c r="J6" s="31">
        <f t="shared" si="3"/>
        <v>4.5045045045044316E-3</v>
      </c>
      <c r="K6">
        <v>178.7</v>
      </c>
      <c r="L6" s="31">
        <f t="shared" si="4"/>
        <v>5.0558495002939415E-2</v>
      </c>
      <c r="M6">
        <v>167.1</v>
      </c>
      <c r="N6" s="31">
        <f t="shared" si="5"/>
        <v>1.6423357664233508E-2</v>
      </c>
      <c r="O6">
        <v>147.9</v>
      </c>
      <c r="P6" s="31">
        <f t="shared" si="6"/>
        <v>2.637057598889668E-2</v>
      </c>
      <c r="Q6">
        <v>165.4</v>
      </c>
      <c r="R6" s="31">
        <f t="shared" si="7"/>
        <v>2.2881880024737275E-2</v>
      </c>
      <c r="S6">
        <v>114.8</v>
      </c>
      <c r="T6" s="31">
        <f t="shared" si="8"/>
        <v>1.503094606542885E-2</v>
      </c>
      <c r="U6">
        <v>168.2</v>
      </c>
      <c r="V6" s="31">
        <f t="shared" si="9"/>
        <v>2.6235509456985863E-2</v>
      </c>
      <c r="W6">
        <v>159.30000000000001</v>
      </c>
      <c r="X6" s="31">
        <f t="shared" si="10"/>
        <v>1.0786802030456961E-2</v>
      </c>
      <c r="Y6">
        <v>170.4</v>
      </c>
      <c r="Z6" s="31">
        <f t="shared" si="11"/>
        <v>8.8809946714031966E-3</v>
      </c>
      <c r="AA6">
        <v>160.69999999999999</v>
      </c>
      <c r="AB6" s="31">
        <f t="shared" si="12"/>
        <v>1.7088607594936637E-2</v>
      </c>
      <c r="AC6">
        <v>191.9</v>
      </c>
      <c r="AD6" s="31">
        <f t="shared" si="13"/>
        <v>1.6419491525423699E-2</v>
      </c>
      <c r="AE6">
        <v>161.80000000000001</v>
      </c>
      <c r="AF6" s="31">
        <f t="shared" si="14"/>
        <v>1.8891687657430729E-2</v>
      </c>
      <c r="AG6">
        <v>152.1</v>
      </c>
      <c r="AH6" s="31">
        <f t="shared" si="15"/>
        <v>2.4242424242424204E-2</v>
      </c>
      <c r="AI6">
        <v>160.4</v>
      </c>
      <c r="AJ6" s="31">
        <f t="shared" si="16"/>
        <v>1.9707565162110578E-2</v>
      </c>
      <c r="AK6">
        <v>161.6</v>
      </c>
      <c r="AL6" s="31">
        <f t="shared" si="17"/>
        <v>1.2391573729862988E-3</v>
      </c>
      <c r="AM6">
        <v>159.4</v>
      </c>
      <c r="AN6" s="31">
        <f t="shared" si="18"/>
        <v>2.4421593830334265E-2</v>
      </c>
      <c r="AO6">
        <v>154.69999999999999</v>
      </c>
      <c r="AP6" s="31">
        <f t="shared" si="19"/>
        <v>1.9104084321475475E-2</v>
      </c>
      <c r="AQ6">
        <v>165.8</v>
      </c>
      <c r="AR6" s="31">
        <f t="shared" si="20"/>
        <v>2.1565003080714726E-2</v>
      </c>
      <c r="AS6">
        <v>148.9</v>
      </c>
      <c r="AT6" s="31">
        <f t="shared" si="21"/>
        <v>1.568894952251031E-2</v>
      </c>
      <c r="AU6">
        <v>155.80000000000001</v>
      </c>
      <c r="AV6" s="31">
        <f t="shared" si="22"/>
        <v>1.6971279373368297E-2</v>
      </c>
      <c r="AW6">
        <v>161.19999999999999</v>
      </c>
      <c r="AX6" s="31">
        <f t="shared" si="23"/>
        <v>5.6144728633810183E-3</v>
      </c>
      <c r="AY6">
        <v>158.6</v>
      </c>
      <c r="AZ6" s="31">
        <f t="shared" si="24"/>
        <v>2.0592020592020518E-2</v>
      </c>
      <c r="BA6">
        <v>156.80000000000001</v>
      </c>
      <c r="BB6" s="31">
        <f t="shared" si="25"/>
        <v>1.5544041450777238E-2</v>
      </c>
      <c r="BC6">
        <v>160.4</v>
      </c>
      <c r="BD6" s="31">
        <f t="shared" si="26"/>
        <v>1.6476552598225565E-2</v>
      </c>
      <c r="BE6" s="5">
        <v>68.53</v>
      </c>
      <c r="BF6" s="22">
        <f t="shared" si="27"/>
        <v>5.7398549606542178E-2</v>
      </c>
      <c r="BH6" s="124"/>
      <c r="BI6" s="125"/>
    </row>
    <row r="7" spans="1:62" ht="15" thickBot="1">
      <c r="A7" s="4">
        <v>2021</v>
      </c>
      <c r="B7" t="s">
        <v>42</v>
      </c>
      <c r="C7">
        <v>146.69999999999999</v>
      </c>
      <c r="D7" s="31">
        <f t="shared" si="0"/>
        <v>2.7341079972657365E-3</v>
      </c>
      <c r="E7">
        <v>202</v>
      </c>
      <c r="F7" s="31">
        <f t="shared" si="1"/>
        <v>7.481296758104738E-3</v>
      </c>
      <c r="G7">
        <v>180.7</v>
      </c>
      <c r="H7" s="31">
        <f t="shared" si="2"/>
        <v>6.1068702290076202E-2</v>
      </c>
      <c r="I7">
        <v>156.19999999999999</v>
      </c>
      <c r="J7" s="31">
        <f t="shared" si="3"/>
        <v>6.4061499039073878E-4</v>
      </c>
      <c r="K7">
        <v>183.7</v>
      </c>
      <c r="L7" s="31">
        <f t="shared" si="4"/>
        <v>2.7979854504756579E-2</v>
      </c>
      <c r="M7">
        <v>164.6</v>
      </c>
      <c r="N7" s="31">
        <f t="shared" si="5"/>
        <v>-1.4961101137043686E-2</v>
      </c>
      <c r="O7">
        <v>155.4</v>
      </c>
      <c r="P7" s="31">
        <f t="shared" si="6"/>
        <v>5.0709939148073022E-2</v>
      </c>
      <c r="Q7">
        <v>166</v>
      </c>
      <c r="R7" s="31">
        <f t="shared" si="7"/>
        <v>3.6275695284159267E-3</v>
      </c>
      <c r="S7">
        <v>115.1</v>
      </c>
      <c r="T7" s="31">
        <f t="shared" si="8"/>
        <v>2.6132404181184424E-3</v>
      </c>
      <c r="U7">
        <v>168.5</v>
      </c>
      <c r="V7" s="31">
        <f t="shared" si="9"/>
        <v>1.7835909631391878E-3</v>
      </c>
      <c r="W7">
        <v>160</v>
      </c>
      <c r="X7" s="31">
        <f t="shared" si="10"/>
        <v>4.394224733207712E-3</v>
      </c>
      <c r="Y7">
        <v>172.4</v>
      </c>
      <c r="Z7" s="31">
        <f t="shared" si="11"/>
        <v>1.1737089201877934E-2</v>
      </c>
      <c r="AA7">
        <v>162.6</v>
      </c>
      <c r="AB7" s="31">
        <f t="shared" si="12"/>
        <v>1.1823273179838244E-2</v>
      </c>
      <c r="AC7">
        <v>190.8</v>
      </c>
      <c r="AD7" s="31">
        <f t="shared" si="13"/>
        <v>-5.7321521625846496E-3</v>
      </c>
      <c r="AE7">
        <v>162.19999999999999</v>
      </c>
      <c r="AF7" s="31">
        <f t="shared" si="14"/>
        <v>2.4721878862792165E-3</v>
      </c>
      <c r="AG7">
        <v>151.80000000000001</v>
      </c>
      <c r="AH7" s="31">
        <f t="shared" si="15"/>
        <v>-1.9723865877710909E-3</v>
      </c>
      <c r="AI7">
        <v>160.69999999999999</v>
      </c>
      <c r="AJ7" s="31">
        <f t="shared" si="16"/>
        <v>1.8703241895260782E-3</v>
      </c>
      <c r="AK7">
        <v>160.5</v>
      </c>
      <c r="AL7" s="31">
        <f t="shared" si="17"/>
        <v>-6.8069306930692722E-3</v>
      </c>
      <c r="AM7">
        <v>159.80000000000001</v>
      </c>
      <c r="AN7" s="31">
        <f t="shared" si="18"/>
        <v>2.5094102885822186E-3</v>
      </c>
      <c r="AO7">
        <v>154.80000000000001</v>
      </c>
      <c r="AP7" s="31">
        <f t="shared" si="19"/>
        <v>6.4641241111844047E-4</v>
      </c>
      <c r="AQ7">
        <v>166.3</v>
      </c>
      <c r="AR7" s="31">
        <f t="shared" si="20"/>
        <v>3.0156815440289505E-3</v>
      </c>
      <c r="AS7">
        <v>150.69999999999999</v>
      </c>
      <c r="AT7" s="31">
        <f t="shared" si="21"/>
        <v>1.2088650100738636E-2</v>
      </c>
      <c r="AU7">
        <v>154.9</v>
      </c>
      <c r="AV7" s="31">
        <f t="shared" si="22"/>
        <v>-5.7766367137355949E-3</v>
      </c>
      <c r="AW7">
        <v>161.69999999999999</v>
      </c>
      <c r="AX7" s="31">
        <f t="shared" si="23"/>
        <v>3.1017369727047149E-3</v>
      </c>
      <c r="AY7">
        <v>158.80000000000001</v>
      </c>
      <c r="AZ7" s="31">
        <f t="shared" si="24"/>
        <v>1.2610340479194014E-3</v>
      </c>
      <c r="BA7">
        <v>157.6</v>
      </c>
      <c r="BB7" s="31">
        <f t="shared" si="25"/>
        <v>5.1020408163264218E-3</v>
      </c>
      <c r="BC7">
        <v>161.30000000000001</v>
      </c>
      <c r="BD7" s="31">
        <f t="shared" si="26"/>
        <v>5.6109725685785893E-3</v>
      </c>
      <c r="BE7" s="5">
        <v>73.16</v>
      </c>
      <c r="BF7" s="22">
        <f t="shared" si="27"/>
        <v>6.7561651831314684E-2</v>
      </c>
    </row>
    <row r="8" spans="1:62" ht="15" thickBot="1">
      <c r="A8" s="4">
        <v>2021</v>
      </c>
      <c r="B8" t="s">
        <v>44</v>
      </c>
      <c r="C8">
        <v>146.4</v>
      </c>
      <c r="D8" s="31">
        <f t="shared" si="0"/>
        <v>-2.0449897750510087E-3</v>
      </c>
      <c r="E8">
        <v>206.8</v>
      </c>
      <c r="F8" s="31">
        <f t="shared" si="1"/>
        <v>2.3762376237623818E-2</v>
      </c>
      <c r="G8">
        <v>182.2</v>
      </c>
      <c r="H8" s="31">
        <f t="shared" si="2"/>
        <v>8.3010514665190927E-3</v>
      </c>
      <c r="I8">
        <v>157.5</v>
      </c>
      <c r="J8" s="31">
        <f t="shared" si="3"/>
        <v>8.32266325224079E-3</v>
      </c>
      <c r="K8">
        <v>182.1</v>
      </c>
      <c r="L8" s="31">
        <f t="shared" si="4"/>
        <v>-8.7098530212302364E-3</v>
      </c>
      <c r="M8">
        <v>163.9</v>
      </c>
      <c r="N8" s="31">
        <f t="shared" si="5"/>
        <v>-4.2527339003644513E-3</v>
      </c>
      <c r="O8">
        <v>164.2</v>
      </c>
      <c r="P8" s="31">
        <f t="shared" si="6"/>
        <v>5.662805662805652E-2</v>
      </c>
      <c r="Q8">
        <v>164</v>
      </c>
      <c r="R8" s="31">
        <f t="shared" si="7"/>
        <v>-1.2048192771084338E-2</v>
      </c>
      <c r="S8">
        <v>114.5</v>
      </c>
      <c r="T8" s="31">
        <f t="shared" si="8"/>
        <v>-5.2128583840138519E-3</v>
      </c>
      <c r="U8">
        <v>168.3</v>
      </c>
      <c r="V8" s="31">
        <f t="shared" si="9"/>
        <v>-1.1869436201779741E-3</v>
      </c>
      <c r="W8">
        <v>160.9</v>
      </c>
      <c r="X8" s="31">
        <f t="shared" si="10"/>
        <v>5.6250000000000354E-3</v>
      </c>
      <c r="Y8">
        <v>172.2</v>
      </c>
      <c r="Z8" s="31">
        <f t="shared" si="11"/>
        <v>-1.1600928074246928E-3</v>
      </c>
      <c r="AA8">
        <v>164</v>
      </c>
      <c r="AB8" s="31">
        <f t="shared" si="12"/>
        <v>8.6100861008610446E-3</v>
      </c>
      <c r="AC8">
        <v>191.2</v>
      </c>
      <c r="AD8" s="31">
        <f t="shared" si="13"/>
        <v>2.0964360587000905E-3</v>
      </c>
      <c r="AE8">
        <v>162.80000000000001</v>
      </c>
      <c r="AF8" s="31">
        <f t="shared" si="14"/>
        <v>3.6991368680642589E-3</v>
      </c>
      <c r="AG8">
        <v>153.1</v>
      </c>
      <c r="AH8" s="31">
        <f t="shared" si="15"/>
        <v>8.5638998682475813E-3</v>
      </c>
      <c r="AI8">
        <v>161.4</v>
      </c>
      <c r="AJ8" s="31">
        <f t="shared" si="16"/>
        <v>4.3559427504668144E-3</v>
      </c>
      <c r="AK8">
        <v>161.5</v>
      </c>
      <c r="AL8" s="31">
        <f t="shared" si="17"/>
        <v>6.2305295950155761E-3</v>
      </c>
      <c r="AM8">
        <v>160.69999999999999</v>
      </c>
      <c r="AN8" s="31">
        <f t="shared" si="18"/>
        <v>5.6320400500624356E-3</v>
      </c>
      <c r="AO8">
        <v>155.80000000000001</v>
      </c>
      <c r="AP8" s="31">
        <f t="shared" si="19"/>
        <v>6.4599483204134363E-3</v>
      </c>
      <c r="AQ8">
        <v>167</v>
      </c>
      <c r="AR8" s="31">
        <f t="shared" si="20"/>
        <v>4.2092603728201361E-3</v>
      </c>
      <c r="AS8">
        <v>153.1</v>
      </c>
      <c r="AT8" s="31">
        <f t="shared" si="21"/>
        <v>1.5925680159256841E-2</v>
      </c>
      <c r="AU8">
        <v>155.30000000000001</v>
      </c>
      <c r="AV8" s="31">
        <f t="shared" si="22"/>
        <v>2.5823111684958404E-3</v>
      </c>
      <c r="AW8">
        <v>163.19999999999999</v>
      </c>
      <c r="AX8" s="31">
        <f t="shared" si="23"/>
        <v>9.2764378478664197E-3</v>
      </c>
      <c r="AY8">
        <v>160.1</v>
      </c>
      <c r="AZ8" s="31">
        <f t="shared" si="24"/>
        <v>8.1863979848865419E-3</v>
      </c>
      <c r="BA8">
        <v>159</v>
      </c>
      <c r="BB8" s="31">
        <f t="shared" si="25"/>
        <v>8.883248730964504E-3</v>
      </c>
      <c r="BC8">
        <v>162.5</v>
      </c>
      <c r="BD8" s="31">
        <f t="shared" si="26"/>
        <v>7.439553626782322E-3</v>
      </c>
      <c r="BE8" s="5">
        <v>75.17</v>
      </c>
      <c r="BF8" s="22">
        <f t="shared" si="27"/>
        <v>2.7474029524330305E-2</v>
      </c>
      <c r="BH8" s="63" t="s">
        <v>374</v>
      </c>
      <c r="BI8" s="64" t="s">
        <v>347</v>
      </c>
      <c r="BJ8" s="63" t="s">
        <v>396</v>
      </c>
    </row>
    <row r="9" spans="1:62">
      <c r="A9" s="4">
        <v>2021</v>
      </c>
      <c r="B9" t="s">
        <v>46</v>
      </c>
      <c r="C9">
        <v>146.6</v>
      </c>
      <c r="D9" s="31">
        <f t="shared" si="0"/>
        <v>1.3661202185791573E-3</v>
      </c>
      <c r="E9">
        <v>204</v>
      </c>
      <c r="F9" s="31">
        <f t="shared" si="1"/>
        <v>-1.3539651837524232E-2</v>
      </c>
      <c r="G9">
        <v>172.8</v>
      </c>
      <c r="H9" s="31">
        <f t="shared" si="2"/>
        <v>-5.1591657519209536E-2</v>
      </c>
      <c r="I9">
        <v>158.4</v>
      </c>
      <c r="J9" s="31">
        <f t="shared" si="3"/>
        <v>5.7142857142857507E-3</v>
      </c>
      <c r="K9">
        <v>188</v>
      </c>
      <c r="L9" s="31">
        <f t="shared" si="4"/>
        <v>3.2399780340472299E-2</v>
      </c>
      <c r="M9">
        <v>156.80000000000001</v>
      </c>
      <c r="N9" s="31">
        <f t="shared" si="5"/>
        <v>-4.3319097010372141E-2</v>
      </c>
      <c r="O9">
        <v>162.19999999999999</v>
      </c>
      <c r="P9" s="31">
        <f t="shared" si="6"/>
        <v>-1.2180267965895251E-2</v>
      </c>
      <c r="Q9">
        <v>164.1</v>
      </c>
      <c r="R9" s="31">
        <f t="shared" si="7"/>
        <v>6.0975609756094091E-4</v>
      </c>
      <c r="S9">
        <v>119.7</v>
      </c>
      <c r="T9" s="31">
        <f t="shared" si="8"/>
        <v>4.5414847161572076E-2</v>
      </c>
      <c r="U9">
        <v>168.8</v>
      </c>
      <c r="V9" s="31">
        <f t="shared" si="9"/>
        <v>2.9708853238265003E-3</v>
      </c>
      <c r="W9">
        <v>162.69999999999999</v>
      </c>
      <c r="X9" s="31">
        <f t="shared" si="10"/>
        <v>1.1187072715972548E-2</v>
      </c>
      <c r="Y9">
        <v>173.9</v>
      </c>
      <c r="Z9" s="31">
        <f t="shared" si="11"/>
        <v>9.872241579558752E-3</v>
      </c>
      <c r="AA9">
        <v>164</v>
      </c>
      <c r="AB9" s="31">
        <f t="shared" si="12"/>
        <v>0</v>
      </c>
      <c r="AC9">
        <v>192.1</v>
      </c>
      <c r="AD9" s="31">
        <f t="shared" si="13"/>
        <v>4.7071129707113267E-3</v>
      </c>
      <c r="AE9">
        <v>164.5</v>
      </c>
      <c r="AF9" s="31">
        <f t="shared" si="14"/>
        <v>1.0442260442260373E-2</v>
      </c>
      <c r="AG9">
        <v>155.30000000000001</v>
      </c>
      <c r="AH9" s="31">
        <f t="shared" si="15"/>
        <v>1.4369693011103966E-2</v>
      </c>
      <c r="AI9">
        <v>163.19999999999999</v>
      </c>
      <c r="AJ9" s="31">
        <f t="shared" si="16"/>
        <v>1.1152416356877217E-2</v>
      </c>
      <c r="AK9">
        <v>162.1</v>
      </c>
      <c r="AL9" s="31">
        <f t="shared" si="17"/>
        <v>3.7151702786377356E-3</v>
      </c>
      <c r="AM9">
        <v>162.6</v>
      </c>
      <c r="AN9" s="31">
        <f t="shared" si="18"/>
        <v>1.1823273179838244E-2</v>
      </c>
      <c r="AO9">
        <v>157.5</v>
      </c>
      <c r="AP9" s="31">
        <f t="shared" si="19"/>
        <v>1.0911424903722648E-2</v>
      </c>
      <c r="AQ9">
        <v>168.4</v>
      </c>
      <c r="AR9" s="31">
        <f t="shared" si="20"/>
        <v>8.3832335329341659E-3</v>
      </c>
      <c r="AS9">
        <v>154</v>
      </c>
      <c r="AT9" s="31">
        <f t="shared" si="21"/>
        <v>5.8785107772697954E-3</v>
      </c>
      <c r="AU9">
        <v>157.6</v>
      </c>
      <c r="AV9" s="31">
        <f t="shared" si="22"/>
        <v>1.4810045074050114E-2</v>
      </c>
      <c r="AW9">
        <v>163.80000000000001</v>
      </c>
      <c r="AX9" s="31">
        <f t="shared" si="23"/>
        <v>3.6764705882354337E-3</v>
      </c>
      <c r="AY9">
        <v>160</v>
      </c>
      <c r="AZ9" s="31">
        <f t="shared" si="24"/>
        <v>-6.2460961898809693E-4</v>
      </c>
      <c r="BA9">
        <v>160</v>
      </c>
      <c r="BB9" s="31">
        <f t="shared" si="25"/>
        <v>6.2893081761006293E-3</v>
      </c>
      <c r="BC9">
        <v>163.19999999999999</v>
      </c>
      <c r="BD9" s="31">
        <f t="shared" si="26"/>
        <v>4.3076923076922381E-3</v>
      </c>
      <c r="BE9" s="5">
        <v>70.75</v>
      </c>
      <c r="BF9" s="22">
        <f t="shared" si="27"/>
        <v>-5.8800053212717862E-2</v>
      </c>
      <c r="BH9" s="17" t="s">
        <v>376</v>
      </c>
      <c r="BI9" s="65">
        <f>CORREL(BF3:BF30,F3:F30)</f>
        <v>0.39807464953773258</v>
      </c>
      <c r="BJ9" s="16" t="s">
        <v>398</v>
      </c>
    </row>
    <row r="10" spans="1:62">
      <c r="A10" s="4">
        <v>2021</v>
      </c>
      <c r="B10" t="s">
        <v>48</v>
      </c>
      <c r="C10">
        <v>146.6</v>
      </c>
      <c r="D10" s="31">
        <f t="shared" si="0"/>
        <v>0</v>
      </c>
      <c r="E10">
        <v>204</v>
      </c>
      <c r="F10" s="31">
        <f t="shared" si="1"/>
        <v>0</v>
      </c>
      <c r="G10">
        <v>172.8</v>
      </c>
      <c r="H10" s="31">
        <f t="shared" si="2"/>
        <v>0</v>
      </c>
      <c r="I10">
        <v>158.4</v>
      </c>
      <c r="J10" s="31">
        <f t="shared" si="3"/>
        <v>0</v>
      </c>
      <c r="K10">
        <v>188</v>
      </c>
      <c r="L10" s="31">
        <f t="shared" si="4"/>
        <v>0</v>
      </c>
      <c r="M10">
        <v>156.69999999999999</v>
      </c>
      <c r="N10" s="31">
        <f t="shared" si="5"/>
        <v>-6.3775510204096134E-4</v>
      </c>
      <c r="O10">
        <v>162.30000000000001</v>
      </c>
      <c r="P10" s="31">
        <f t="shared" si="6"/>
        <v>6.1652281134415992E-4</v>
      </c>
      <c r="Q10">
        <v>164.1</v>
      </c>
      <c r="R10" s="31">
        <f t="shared" si="7"/>
        <v>0</v>
      </c>
      <c r="S10">
        <v>119.7</v>
      </c>
      <c r="T10" s="31">
        <f t="shared" si="8"/>
        <v>0</v>
      </c>
      <c r="U10">
        <v>168.8</v>
      </c>
      <c r="V10" s="31">
        <f t="shared" si="9"/>
        <v>0</v>
      </c>
      <c r="W10">
        <v>162.69999999999999</v>
      </c>
      <c r="X10" s="31">
        <f t="shared" si="10"/>
        <v>0</v>
      </c>
      <c r="Y10">
        <v>173.9</v>
      </c>
      <c r="Z10" s="31">
        <f t="shared" si="11"/>
        <v>0</v>
      </c>
      <c r="AA10">
        <v>164</v>
      </c>
      <c r="AB10" s="31">
        <f t="shared" si="12"/>
        <v>0</v>
      </c>
      <c r="AC10">
        <v>192.1</v>
      </c>
      <c r="AD10" s="31">
        <f t="shared" si="13"/>
        <v>0</v>
      </c>
      <c r="AE10">
        <v>164.6</v>
      </c>
      <c r="AF10" s="31">
        <f t="shared" si="14"/>
        <v>6.0790273556227549E-4</v>
      </c>
      <c r="AG10">
        <v>155.30000000000001</v>
      </c>
      <c r="AH10" s="31">
        <f t="shared" si="15"/>
        <v>0</v>
      </c>
      <c r="AI10">
        <v>163.30000000000001</v>
      </c>
      <c r="AJ10" s="31">
        <f t="shared" si="16"/>
        <v>6.12745098039355E-4</v>
      </c>
      <c r="AK10">
        <v>162.1</v>
      </c>
      <c r="AL10" s="31">
        <f t="shared" si="17"/>
        <v>0</v>
      </c>
      <c r="AM10">
        <v>162.6</v>
      </c>
      <c r="AN10" s="31">
        <f t="shared" si="18"/>
        <v>0</v>
      </c>
      <c r="AO10">
        <v>157.5</v>
      </c>
      <c r="AP10" s="31">
        <f t="shared" si="19"/>
        <v>0</v>
      </c>
      <c r="AQ10">
        <v>168.4</v>
      </c>
      <c r="AR10" s="31">
        <f t="shared" si="20"/>
        <v>0</v>
      </c>
      <c r="AS10">
        <v>154</v>
      </c>
      <c r="AT10" s="31">
        <f t="shared" si="21"/>
        <v>0</v>
      </c>
      <c r="AU10">
        <v>157.69999999999999</v>
      </c>
      <c r="AV10" s="31">
        <f t="shared" si="22"/>
        <v>6.3451776649742588E-4</v>
      </c>
      <c r="AW10">
        <v>163.69999999999999</v>
      </c>
      <c r="AX10" s="31">
        <f t="shared" si="23"/>
        <v>-6.1050061050074928E-4</v>
      </c>
      <c r="AY10">
        <v>160</v>
      </c>
      <c r="AZ10" s="31">
        <f t="shared" si="24"/>
        <v>0</v>
      </c>
      <c r="BA10">
        <v>160</v>
      </c>
      <c r="BB10" s="31">
        <f t="shared" si="25"/>
        <v>0</v>
      </c>
      <c r="BC10">
        <v>163.19999999999999</v>
      </c>
      <c r="BD10" s="31">
        <f t="shared" si="26"/>
        <v>0</v>
      </c>
      <c r="BE10" s="5">
        <v>74.489999999999995</v>
      </c>
      <c r="BF10" s="22">
        <f t="shared" si="27"/>
        <v>5.2862190812720776E-2</v>
      </c>
      <c r="BH10" s="17" t="s">
        <v>378</v>
      </c>
      <c r="BI10" s="66">
        <f>CORREL(BF3:BF30,L3:L30)</f>
        <v>0.38447150715087164</v>
      </c>
      <c r="BJ10" s="16" t="s">
        <v>398</v>
      </c>
    </row>
    <row r="11" spans="1:62">
      <c r="A11" s="4">
        <v>2021</v>
      </c>
      <c r="B11" t="s">
        <v>50</v>
      </c>
      <c r="C11">
        <v>147.4</v>
      </c>
      <c r="D11" s="31">
        <f t="shared" si="0"/>
        <v>5.4570259208732022E-3</v>
      </c>
      <c r="E11">
        <v>204.6</v>
      </c>
      <c r="F11" s="31">
        <f t="shared" si="1"/>
        <v>2.9411764705882075E-3</v>
      </c>
      <c r="G11">
        <v>171.2</v>
      </c>
      <c r="H11" s="31">
        <f t="shared" si="2"/>
        <v>-9.2592592592593906E-3</v>
      </c>
      <c r="I11">
        <v>158.69999999999999</v>
      </c>
      <c r="J11" s="31">
        <f t="shared" si="3"/>
        <v>1.8939393939392862E-3</v>
      </c>
      <c r="K11">
        <v>190.6</v>
      </c>
      <c r="L11" s="31">
        <f t="shared" si="4"/>
        <v>1.3829787234042523E-2</v>
      </c>
      <c r="M11">
        <v>155.69999999999999</v>
      </c>
      <c r="N11" s="31">
        <f t="shared" si="5"/>
        <v>-6.3816209317166563E-3</v>
      </c>
      <c r="O11">
        <v>185.3</v>
      </c>
      <c r="P11" s="31">
        <f t="shared" si="6"/>
        <v>0.14171287738755389</v>
      </c>
      <c r="Q11">
        <v>165.2</v>
      </c>
      <c r="R11" s="31">
        <f t="shared" si="7"/>
        <v>6.7032297379646215E-3</v>
      </c>
      <c r="S11">
        <v>121.9</v>
      </c>
      <c r="T11" s="31">
        <f t="shared" si="8"/>
        <v>1.8379281537176297E-2</v>
      </c>
      <c r="U11">
        <v>169.3</v>
      </c>
      <c r="V11" s="31">
        <f t="shared" si="9"/>
        <v>2.9620853080568718E-3</v>
      </c>
      <c r="W11">
        <v>163.19999999999999</v>
      </c>
      <c r="X11" s="31">
        <f t="shared" si="10"/>
        <v>3.0731407498463433E-3</v>
      </c>
      <c r="Y11">
        <v>174.7</v>
      </c>
      <c r="Z11" s="31">
        <f t="shared" si="11"/>
        <v>4.6003450258768428E-3</v>
      </c>
      <c r="AA11">
        <v>167.7</v>
      </c>
      <c r="AB11" s="31">
        <f t="shared" si="12"/>
        <v>2.2560975609756027E-2</v>
      </c>
      <c r="AC11">
        <v>192.7</v>
      </c>
      <c r="AD11" s="31">
        <f t="shared" si="13"/>
        <v>3.1233732431025212E-3</v>
      </c>
      <c r="AE11">
        <v>165.7</v>
      </c>
      <c r="AF11" s="31">
        <f t="shared" si="14"/>
        <v>6.6828675577156405E-3</v>
      </c>
      <c r="AG11">
        <v>156.30000000000001</v>
      </c>
      <c r="AH11" s="31">
        <f t="shared" si="15"/>
        <v>6.4391500321957498E-3</v>
      </c>
      <c r="AI11">
        <v>164.3</v>
      </c>
      <c r="AJ11" s="31">
        <f t="shared" si="16"/>
        <v>6.1236987140232697E-3</v>
      </c>
      <c r="AK11">
        <v>163.6</v>
      </c>
      <c r="AL11" s="31">
        <f t="shared" si="17"/>
        <v>9.2535471930906849E-3</v>
      </c>
      <c r="AM11">
        <v>164.2</v>
      </c>
      <c r="AN11" s="31">
        <f t="shared" si="18"/>
        <v>9.8400984009839754E-3</v>
      </c>
      <c r="AO11">
        <v>158.4</v>
      </c>
      <c r="AP11" s="31">
        <f t="shared" si="19"/>
        <v>5.7142857142857507E-3</v>
      </c>
      <c r="AQ11">
        <v>169.1</v>
      </c>
      <c r="AR11" s="31">
        <f t="shared" si="20"/>
        <v>4.1567695961994573E-3</v>
      </c>
      <c r="AS11">
        <v>155.69999999999999</v>
      </c>
      <c r="AT11" s="31">
        <f t="shared" si="21"/>
        <v>1.1038961038960965E-2</v>
      </c>
      <c r="AU11">
        <v>158.6</v>
      </c>
      <c r="AV11" s="31">
        <f t="shared" si="22"/>
        <v>5.7070386810399859E-3</v>
      </c>
      <c r="AW11">
        <v>163.9</v>
      </c>
      <c r="AX11" s="31">
        <f t="shared" si="23"/>
        <v>1.2217470983507458E-3</v>
      </c>
      <c r="AY11">
        <v>160.80000000000001</v>
      </c>
      <c r="AZ11" s="31">
        <f t="shared" si="24"/>
        <v>5.0000000000000712E-3</v>
      </c>
      <c r="BA11">
        <v>161</v>
      </c>
      <c r="BB11" s="31">
        <f t="shared" si="25"/>
        <v>6.2500000000000003E-3</v>
      </c>
      <c r="BC11">
        <v>165.5</v>
      </c>
      <c r="BD11" s="31">
        <f t="shared" si="26"/>
        <v>1.4093137254902032E-2</v>
      </c>
      <c r="BE11" s="5">
        <v>83.54</v>
      </c>
      <c r="BF11" s="22">
        <f t="shared" si="27"/>
        <v>0.12149281782789652</v>
      </c>
      <c r="BH11" s="17" t="s">
        <v>9</v>
      </c>
      <c r="BI11" s="66">
        <f>CORREL(BF1:BF26,P1:P26)</f>
        <v>3.0577620978226642E-2</v>
      </c>
      <c r="BJ11" s="16" t="s">
        <v>398</v>
      </c>
    </row>
    <row r="12" spans="1:62">
      <c r="A12" s="4">
        <v>2021</v>
      </c>
      <c r="B12" t="s">
        <v>53</v>
      </c>
      <c r="C12">
        <v>148.19999999999999</v>
      </c>
      <c r="D12" s="31">
        <f t="shared" si="0"/>
        <v>5.4274084124829236E-3</v>
      </c>
      <c r="E12">
        <v>201.6</v>
      </c>
      <c r="F12" s="31">
        <f t="shared" si="1"/>
        <v>-1.466275659824047E-2</v>
      </c>
      <c r="G12">
        <v>173</v>
      </c>
      <c r="H12" s="31">
        <f t="shared" si="2"/>
        <v>1.0514018691588852E-2</v>
      </c>
      <c r="I12">
        <v>159.30000000000001</v>
      </c>
      <c r="J12" s="31">
        <f t="shared" si="3"/>
        <v>3.7807183364840756E-3</v>
      </c>
      <c r="K12">
        <v>190.1</v>
      </c>
      <c r="L12" s="31">
        <f t="shared" si="4"/>
        <v>-2.6232948583420779E-3</v>
      </c>
      <c r="M12">
        <v>156.5</v>
      </c>
      <c r="N12" s="31">
        <f t="shared" si="5"/>
        <v>5.1380860629416276E-3</v>
      </c>
      <c r="O12">
        <v>199.2</v>
      </c>
      <c r="P12" s="31">
        <f t="shared" si="6"/>
        <v>7.5013491635186058E-2</v>
      </c>
      <c r="Q12">
        <v>165.3</v>
      </c>
      <c r="R12" s="31">
        <f t="shared" si="7"/>
        <v>6.0532687651345491E-4</v>
      </c>
      <c r="S12">
        <v>122.4</v>
      </c>
      <c r="T12" s="31">
        <f t="shared" si="8"/>
        <v>4.1017227235438884E-3</v>
      </c>
      <c r="U12">
        <v>169.6</v>
      </c>
      <c r="V12" s="31">
        <f t="shared" si="9"/>
        <v>1.772002362669716E-3</v>
      </c>
      <c r="W12">
        <v>163.69999999999999</v>
      </c>
      <c r="X12" s="31">
        <f t="shared" si="10"/>
        <v>3.0637254901960788E-3</v>
      </c>
      <c r="Y12">
        <v>175.5</v>
      </c>
      <c r="Z12" s="31">
        <f t="shared" si="11"/>
        <v>4.5792787635947994E-3</v>
      </c>
      <c r="AA12">
        <v>169.7</v>
      </c>
      <c r="AB12" s="31">
        <f t="shared" si="12"/>
        <v>1.1926058437686345E-2</v>
      </c>
      <c r="AC12">
        <v>192.9</v>
      </c>
      <c r="AD12" s="31">
        <f t="shared" si="13"/>
        <v>1.0378827192528131E-3</v>
      </c>
      <c r="AE12">
        <v>167.2</v>
      </c>
      <c r="AF12" s="31">
        <f t="shared" si="14"/>
        <v>9.0525045262522634E-3</v>
      </c>
      <c r="AG12">
        <v>157.4</v>
      </c>
      <c r="AH12" s="31">
        <f t="shared" si="15"/>
        <v>7.03774792066535E-3</v>
      </c>
      <c r="AI12">
        <v>165.8</v>
      </c>
      <c r="AJ12" s="31">
        <f t="shared" si="16"/>
        <v>9.1296409007912346E-3</v>
      </c>
      <c r="AK12">
        <v>164.2</v>
      </c>
      <c r="AL12" s="31">
        <f t="shared" si="17"/>
        <v>3.6674816625916523E-3</v>
      </c>
      <c r="AM12">
        <v>163.9</v>
      </c>
      <c r="AN12" s="31">
        <f t="shared" si="18"/>
        <v>-1.8270401948841837E-3</v>
      </c>
      <c r="AO12">
        <v>159.30000000000001</v>
      </c>
      <c r="AP12" s="31">
        <f t="shared" si="19"/>
        <v>5.6818181818182175E-3</v>
      </c>
      <c r="AQ12">
        <v>169.9</v>
      </c>
      <c r="AR12" s="31">
        <f t="shared" si="20"/>
        <v>4.730928444707341E-3</v>
      </c>
      <c r="AS12">
        <v>154.80000000000001</v>
      </c>
      <c r="AT12" s="31">
        <f t="shared" si="21"/>
        <v>-5.7803468208091026E-3</v>
      </c>
      <c r="AU12">
        <v>159.80000000000001</v>
      </c>
      <c r="AV12" s="31">
        <f t="shared" si="22"/>
        <v>7.5662042875158705E-3</v>
      </c>
      <c r="AW12">
        <v>164.3</v>
      </c>
      <c r="AX12" s="31">
        <f t="shared" si="23"/>
        <v>2.4405125076266362E-3</v>
      </c>
      <c r="AY12">
        <v>162.19999999999999</v>
      </c>
      <c r="AZ12" s="31">
        <f t="shared" si="24"/>
        <v>8.7064676616914003E-3</v>
      </c>
      <c r="BA12">
        <v>161.4</v>
      </c>
      <c r="BB12" s="31">
        <f t="shared" si="25"/>
        <v>2.4844720496894762E-3</v>
      </c>
      <c r="BC12">
        <v>166.7</v>
      </c>
      <c r="BD12" s="31">
        <f t="shared" si="26"/>
        <v>7.2507552870089949E-3</v>
      </c>
      <c r="BE12" s="5">
        <v>81.05</v>
      </c>
      <c r="BF12" s="22">
        <f t="shared" si="27"/>
        <v>-2.9806080919320192E-2</v>
      </c>
      <c r="BH12" s="17" t="s">
        <v>13</v>
      </c>
      <c r="BI12" s="66">
        <f>CORREL(BF4:BF31,X4:X31)</f>
        <v>-5.0083597705786832E-2</v>
      </c>
      <c r="BJ12" s="16" t="s">
        <v>401</v>
      </c>
    </row>
    <row r="13" spans="1:62">
      <c r="A13" s="4">
        <v>2021</v>
      </c>
      <c r="B13" t="s">
        <v>55</v>
      </c>
      <c r="C13">
        <v>148.69999999999999</v>
      </c>
      <c r="D13" s="31">
        <f t="shared" si="0"/>
        <v>3.3738191632928477E-3</v>
      </c>
      <c r="E13">
        <v>198.8</v>
      </c>
      <c r="F13" s="31">
        <f t="shared" si="1"/>
        <v>-1.3888888888888805E-2</v>
      </c>
      <c r="G13">
        <v>177.9</v>
      </c>
      <c r="H13" s="31">
        <f t="shared" si="2"/>
        <v>2.8323699421965352E-2</v>
      </c>
      <c r="I13">
        <v>159.9</v>
      </c>
      <c r="J13" s="31">
        <f t="shared" si="3"/>
        <v>3.766478342749493E-3</v>
      </c>
      <c r="K13">
        <v>187.6</v>
      </c>
      <c r="L13" s="31">
        <f t="shared" si="4"/>
        <v>-1.3150973172014729E-2</v>
      </c>
      <c r="M13">
        <v>154.9</v>
      </c>
      <c r="N13" s="31">
        <f t="shared" si="5"/>
        <v>-1.0223642172523926E-2</v>
      </c>
      <c r="O13">
        <v>188.3</v>
      </c>
      <c r="P13" s="31">
        <f t="shared" si="6"/>
        <v>-5.4718875502007921E-2</v>
      </c>
      <c r="Q13">
        <v>164.4</v>
      </c>
      <c r="R13" s="31">
        <f t="shared" si="7"/>
        <v>-5.4446460980036634E-3</v>
      </c>
      <c r="S13">
        <v>121</v>
      </c>
      <c r="T13" s="31">
        <f t="shared" si="8"/>
        <v>-1.1437908496732072E-2</v>
      </c>
      <c r="U13">
        <v>170.5</v>
      </c>
      <c r="V13" s="31">
        <f t="shared" si="9"/>
        <v>5.3066037735849392E-3</v>
      </c>
      <c r="W13">
        <v>164.2</v>
      </c>
      <c r="X13" s="31">
        <f t="shared" si="10"/>
        <v>3.0543677458766036E-3</v>
      </c>
      <c r="Y13">
        <v>176.5</v>
      </c>
      <c r="Z13" s="31">
        <f t="shared" si="11"/>
        <v>5.6980056980056983E-3</v>
      </c>
      <c r="AA13">
        <v>168.2</v>
      </c>
      <c r="AB13" s="31">
        <f t="shared" si="12"/>
        <v>-8.8391278727165592E-3</v>
      </c>
      <c r="AC13">
        <v>192.4</v>
      </c>
      <c r="AD13" s="31">
        <f t="shared" si="13"/>
        <v>-2.592016588906169E-3</v>
      </c>
      <c r="AE13">
        <v>168.5</v>
      </c>
      <c r="AF13" s="31">
        <f t="shared" si="14"/>
        <v>7.7751196172249487E-3</v>
      </c>
      <c r="AG13">
        <v>158.69999999999999</v>
      </c>
      <c r="AH13" s="31">
        <f t="shared" si="15"/>
        <v>8.2592121982209849E-3</v>
      </c>
      <c r="AI13">
        <v>167</v>
      </c>
      <c r="AJ13" s="31">
        <f t="shared" si="16"/>
        <v>7.2376357056694119E-3</v>
      </c>
      <c r="AK13">
        <v>163.4</v>
      </c>
      <c r="AL13" s="31">
        <f t="shared" si="17"/>
        <v>-4.8721071863579964E-3</v>
      </c>
      <c r="AM13">
        <v>164.1</v>
      </c>
      <c r="AN13" s="31">
        <f t="shared" si="18"/>
        <v>1.2202562538132314E-3</v>
      </c>
      <c r="AO13">
        <v>160.19999999999999</v>
      </c>
      <c r="AP13" s="31">
        <f t="shared" si="19"/>
        <v>5.6497175141241507E-3</v>
      </c>
      <c r="AQ13">
        <v>170.6</v>
      </c>
      <c r="AR13" s="31">
        <f t="shared" si="20"/>
        <v>4.1200706297821578E-3</v>
      </c>
      <c r="AS13">
        <v>155.69999999999999</v>
      </c>
      <c r="AT13" s="31">
        <f t="shared" si="21"/>
        <v>5.8139534883719455E-3</v>
      </c>
      <c r="AU13">
        <v>160.6</v>
      </c>
      <c r="AV13" s="31">
        <f t="shared" si="22"/>
        <v>5.0062578222777399E-3</v>
      </c>
      <c r="AW13">
        <v>164.4</v>
      </c>
      <c r="AX13" s="31">
        <f t="shared" si="23"/>
        <v>6.0864272671938102E-4</v>
      </c>
      <c r="AY13">
        <v>162.6</v>
      </c>
      <c r="AZ13" s="31">
        <f t="shared" si="24"/>
        <v>2.4660912453761141E-3</v>
      </c>
      <c r="BA13">
        <v>162</v>
      </c>
      <c r="BB13" s="31">
        <f t="shared" si="25"/>
        <v>3.7174721189590725E-3</v>
      </c>
      <c r="BC13">
        <v>166.2</v>
      </c>
      <c r="BD13" s="31">
        <f t="shared" si="26"/>
        <v>-2.999400119976005E-3</v>
      </c>
      <c r="BE13" s="5">
        <v>74.17</v>
      </c>
      <c r="BF13" s="22">
        <f t="shared" si="27"/>
        <v>-8.4885872917951827E-2</v>
      </c>
      <c r="BH13" s="17" t="s">
        <v>383</v>
      </c>
      <c r="BI13" s="66">
        <f>CORREL(BF4:BF31,AH4:AH31)</f>
        <v>0.16946701480271711</v>
      </c>
      <c r="BJ13" s="16" t="s">
        <v>401</v>
      </c>
    </row>
    <row r="14" spans="1:62">
      <c r="A14" s="4">
        <v>2022</v>
      </c>
      <c r="B14" t="s">
        <v>31</v>
      </c>
      <c r="C14">
        <v>149.5</v>
      </c>
      <c r="D14" s="31">
        <f t="shared" si="0"/>
        <v>5.3799596503026998E-3</v>
      </c>
      <c r="E14">
        <v>198.7</v>
      </c>
      <c r="F14" s="31">
        <f t="shared" si="1"/>
        <v>-5.0301810865202579E-4</v>
      </c>
      <c r="G14">
        <v>178.8</v>
      </c>
      <c r="H14" s="31">
        <f t="shared" si="2"/>
        <v>5.0590219224283623E-3</v>
      </c>
      <c r="I14">
        <v>160.5</v>
      </c>
      <c r="J14" s="31">
        <f t="shared" si="3"/>
        <v>3.7523452157598143E-3</v>
      </c>
      <c r="K14">
        <v>184.7</v>
      </c>
      <c r="L14" s="31">
        <f t="shared" si="4"/>
        <v>-1.5458422174840116E-2</v>
      </c>
      <c r="M14">
        <v>153.69999999999999</v>
      </c>
      <c r="N14" s="31">
        <f t="shared" si="5"/>
        <v>-7.7469335054875209E-3</v>
      </c>
      <c r="O14">
        <v>174.3</v>
      </c>
      <c r="P14" s="31">
        <f t="shared" si="6"/>
        <v>-7.4349442379182146E-2</v>
      </c>
      <c r="Q14">
        <v>163.9</v>
      </c>
      <c r="R14" s="31">
        <f t="shared" si="7"/>
        <v>-3.0413625304136251E-3</v>
      </c>
      <c r="S14">
        <v>120</v>
      </c>
      <c r="T14" s="31">
        <f t="shared" si="8"/>
        <v>-8.2644628099173556E-3</v>
      </c>
      <c r="U14">
        <v>172.1</v>
      </c>
      <c r="V14" s="31">
        <f t="shared" si="9"/>
        <v>9.3841642228738673E-3</v>
      </c>
      <c r="W14">
        <v>164.3</v>
      </c>
      <c r="X14" s="31">
        <f t="shared" si="10"/>
        <v>6.0901339829490101E-4</v>
      </c>
      <c r="Y14">
        <v>177.3</v>
      </c>
      <c r="Z14" s="31">
        <f t="shared" si="11"/>
        <v>4.5325779036827843E-3</v>
      </c>
      <c r="AA14">
        <v>166.4</v>
      </c>
      <c r="AB14" s="31">
        <f t="shared" si="12"/>
        <v>-1.070154577883462E-2</v>
      </c>
      <c r="AC14">
        <v>192.2</v>
      </c>
      <c r="AD14" s="31">
        <f t="shared" si="13"/>
        <v>-1.039501039501128E-3</v>
      </c>
      <c r="AE14">
        <v>169.9</v>
      </c>
      <c r="AF14" s="31">
        <f t="shared" si="14"/>
        <v>8.3086053412463248E-3</v>
      </c>
      <c r="AG14">
        <v>160.69999999999999</v>
      </c>
      <c r="AH14" s="31">
        <f t="shared" si="15"/>
        <v>1.2602394454946441E-2</v>
      </c>
      <c r="AI14">
        <v>168.5</v>
      </c>
      <c r="AJ14" s="31">
        <f t="shared" si="16"/>
        <v>8.9820359281437123E-3</v>
      </c>
      <c r="AK14">
        <v>164.5</v>
      </c>
      <c r="AL14" s="31">
        <f t="shared" si="17"/>
        <v>6.7319461444308093E-3</v>
      </c>
      <c r="AM14">
        <v>164.2</v>
      </c>
      <c r="AN14" s="31">
        <f t="shared" si="18"/>
        <v>6.0938452163311586E-4</v>
      </c>
      <c r="AO14">
        <v>161.1</v>
      </c>
      <c r="AP14" s="31">
        <f t="shared" si="19"/>
        <v>5.6179775280899239E-3</v>
      </c>
      <c r="AQ14">
        <v>171.4</v>
      </c>
      <c r="AR14" s="31">
        <f t="shared" si="20"/>
        <v>4.6893317702228097E-3</v>
      </c>
      <c r="AS14">
        <v>156.5</v>
      </c>
      <c r="AT14" s="31">
        <f t="shared" si="21"/>
        <v>5.1380860629416276E-3</v>
      </c>
      <c r="AU14">
        <v>161.19999999999999</v>
      </c>
      <c r="AV14" s="31">
        <f t="shared" si="22"/>
        <v>3.735990037359865E-3</v>
      </c>
      <c r="AW14">
        <v>164.7</v>
      </c>
      <c r="AX14" s="31">
        <f t="shared" si="23"/>
        <v>1.8248175182480715E-3</v>
      </c>
      <c r="AY14">
        <v>163</v>
      </c>
      <c r="AZ14" s="31">
        <f t="shared" si="24"/>
        <v>2.4600246002460377E-3</v>
      </c>
      <c r="BA14">
        <v>162.69999999999999</v>
      </c>
      <c r="BB14" s="31">
        <f t="shared" si="25"/>
        <v>4.3209876543209179E-3</v>
      </c>
      <c r="BC14">
        <v>165.7</v>
      </c>
      <c r="BD14" s="31">
        <f t="shared" si="26"/>
        <v>-3.0084235860409147E-3</v>
      </c>
      <c r="BE14" s="5">
        <v>86.51</v>
      </c>
      <c r="BF14" s="22">
        <f t="shared" si="27"/>
        <v>0.16637454496427131</v>
      </c>
      <c r="BH14" s="17" t="s">
        <v>382</v>
      </c>
      <c r="BI14" s="66">
        <f>CORREL(BF4:BF31,AD4:AD31)</f>
        <v>6.5935072469893427E-2</v>
      </c>
      <c r="BJ14" s="16" t="s">
        <v>401</v>
      </c>
    </row>
    <row r="15" spans="1:62">
      <c r="A15" s="4">
        <v>2022</v>
      </c>
      <c r="B15" t="s">
        <v>36</v>
      </c>
      <c r="C15">
        <v>150</v>
      </c>
      <c r="D15" s="31">
        <f t="shared" si="0"/>
        <v>3.3444816053511705E-3</v>
      </c>
      <c r="E15">
        <v>200.6</v>
      </c>
      <c r="F15" s="31">
        <f t="shared" si="1"/>
        <v>9.5621540010065714E-3</v>
      </c>
      <c r="G15">
        <v>175.8</v>
      </c>
      <c r="H15" s="31">
        <f t="shared" si="2"/>
        <v>-1.6778523489932886E-2</v>
      </c>
      <c r="I15">
        <v>160.69999999999999</v>
      </c>
      <c r="J15" s="31">
        <f t="shared" si="3"/>
        <v>1.2461059190030444E-3</v>
      </c>
      <c r="K15">
        <v>184.9</v>
      </c>
      <c r="L15" s="31">
        <f t="shared" si="4"/>
        <v>1.0828370330266219E-3</v>
      </c>
      <c r="M15">
        <v>153.69999999999999</v>
      </c>
      <c r="N15" s="31">
        <f t="shared" si="5"/>
        <v>0</v>
      </c>
      <c r="O15">
        <v>169.7</v>
      </c>
      <c r="P15" s="31">
        <f t="shared" si="6"/>
        <v>-2.6391279403327726E-2</v>
      </c>
      <c r="Q15">
        <v>163.69999999999999</v>
      </c>
      <c r="R15" s="31">
        <f t="shared" si="7"/>
        <v>-1.2202562538134048E-3</v>
      </c>
      <c r="S15">
        <v>118.9</v>
      </c>
      <c r="T15" s="31">
        <f t="shared" si="8"/>
        <v>-9.1666666666666199E-3</v>
      </c>
      <c r="U15">
        <v>174.3</v>
      </c>
      <c r="V15" s="31">
        <f t="shared" si="9"/>
        <v>1.2783265543288885E-2</v>
      </c>
      <c r="W15">
        <v>164.7</v>
      </c>
      <c r="X15" s="31">
        <f t="shared" si="10"/>
        <v>2.4345709068775241E-3</v>
      </c>
      <c r="Y15">
        <v>178</v>
      </c>
      <c r="Z15" s="31">
        <f t="shared" si="11"/>
        <v>3.948110547095254E-3</v>
      </c>
      <c r="AA15">
        <v>166.2</v>
      </c>
      <c r="AB15" s="31">
        <f t="shared" si="12"/>
        <v>-1.2019230769231793E-3</v>
      </c>
      <c r="AC15">
        <v>192.8</v>
      </c>
      <c r="AD15" s="31">
        <f t="shared" si="13"/>
        <v>3.1217481789803476E-3</v>
      </c>
      <c r="AE15">
        <v>170.8</v>
      </c>
      <c r="AF15" s="31">
        <f t="shared" si="14"/>
        <v>5.297233666862894E-3</v>
      </c>
      <c r="AG15">
        <v>162.4</v>
      </c>
      <c r="AH15" s="31">
        <f t="shared" si="15"/>
        <v>1.0578718108276397E-2</v>
      </c>
      <c r="AI15">
        <v>169.6</v>
      </c>
      <c r="AJ15" s="31">
        <f t="shared" si="16"/>
        <v>6.5281899109791951E-3</v>
      </c>
      <c r="AK15">
        <v>165.5</v>
      </c>
      <c r="AL15" s="31">
        <f t="shared" si="17"/>
        <v>6.0790273556231003E-3</v>
      </c>
      <c r="AM15">
        <v>165.7</v>
      </c>
      <c r="AN15" s="31">
        <f t="shared" si="18"/>
        <v>9.1352009744214372E-3</v>
      </c>
      <c r="AO15">
        <v>161.80000000000001</v>
      </c>
      <c r="AP15" s="31">
        <f t="shared" si="19"/>
        <v>4.3451272501552896E-3</v>
      </c>
      <c r="AQ15">
        <v>172.2</v>
      </c>
      <c r="AR15" s="31">
        <f t="shared" si="20"/>
        <v>4.6674445740955833E-3</v>
      </c>
      <c r="AS15">
        <v>156.9</v>
      </c>
      <c r="AT15" s="31">
        <f t="shared" si="21"/>
        <v>2.5559105431310269E-3</v>
      </c>
      <c r="AU15">
        <v>162.1</v>
      </c>
      <c r="AV15" s="31">
        <f t="shared" si="22"/>
        <v>5.5831265508685217E-3</v>
      </c>
      <c r="AW15">
        <v>165.4</v>
      </c>
      <c r="AX15" s="31">
        <f t="shared" si="23"/>
        <v>4.2501517911355015E-3</v>
      </c>
      <c r="AY15">
        <v>164.4</v>
      </c>
      <c r="AZ15" s="31">
        <f t="shared" si="24"/>
        <v>8.5889570552147593E-3</v>
      </c>
      <c r="BA15">
        <v>163.5</v>
      </c>
      <c r="BB15" s="31">
        <f t="shared" si="25"/>
        <v>4.9170251997542186E-3</v>
      </c>
      <c r="BC15">
        <v>166.1</v>
      </c>
      <c r="BD15" s="31">
        <f t="shared" si="26"/>
        <v>2.4140012070006378E-3</v>
      </c>
      <c r="BE15" s="5">
        <v>97.13</v>
      </c>
      <c r="BF15" s="22">
        <f t="shared" si="27"/>
        <v>0.1227603745231764</v>
      </c>
      <c r="BH15" s="17" t="s">
        <v>19</v>
      </c>
      <c r="BI15" s="66">
        <f>CORREL(BF4:BF31,AJ4:AJ31)</f>
        <v>8.7442912522681993E-2</v>
      </c>
      <c r="BJ15" s="16" t="s">
        <v>401</v>
      </c>
    </row>
    <row r="16" spans="1:62">
      <c r="A16" s="4">
        <v>2022</v>
      </c>
      <c r="B16" t="s">
        <v>38</v>
      </c>
      <c r="C16">
        <v>151.30000000000001</v>
      </c>
      <c r="D16" s="31">
        <f t="shared" si="0"/>
        <v>8.6666666666667426E-3</v>
      </c>
      <c r="E16">
        <v>210.7</v>
      </c>
      <c r="F16" s="31">
        <f t="shared" si="1"/>
        <v>5.0348953140578238E-2</v>
      </c>
      <c r="G16">
        <v>167.8</v>
      </c>
      <c r="H16" s="31">
        <f t="shared" si="2"/>
        <v>-4.5506257110352673E-2</v>
      </c>
      <c r="I16">
        <v>162.19999999999999</v>
      </c>
      <c r="J16" s="31">
        <f t="shared" si="3"/>
        <v>9.3341630367143758E-3</v>
      </c>
      <c r="K16">
        <v>194.6</v>
      </c>
      <c r="L16" s="31">
        <f t="shared" si="4"/>
        <v>5.2460789616008592E-2</v>
      </c>
      <c r="M16">
        <v>157.6</v>
      </c>
      <c r="N16" s="31">
        <f t="shared" si="5"/>
        <v>2.5374105400130163E-2</v>
      </c>
      <c r="O16">
        <v>166.9</v>
      </c>
      <c r="P16" s="31">
        <f t="shared" si="6"/>
        <v>-1.6499705362404145E-2</v>
      </c>
      <c r="Q16">
        <v>163.9</v>
      </c>
      <c r="R16" s="31">
        <f t="shared" si="7"/>
        <v>1.2217470983507458E-3</v>
      </c>
      <c r="S16">
        <v>118.8</v>
      </c>
      <c r="T16" s="31">
        <f t="shared" si="8"/>
        <v>-8.4104289318762419E-4</v>
      </c>
      <c r="U16">
        <v>177.4</v>
      </c>
      <c r="V16" s="31">
        <f t="shared" si="9"/>
        <v>1.7785427423981606E-2</v>
      </c>
      <c r="W16">
        <v>165.3</v>
      </c>
      <c r="X16" s="31">
        <f t="shared" si="10"/>
        <v>3.6429872495447649E-3</v>
      </c>
      <c r="Y16">
        <v>179.3</v>
      </c>
      <c r="Z16" s="31">
        <f t="shared" si="11"/>
        <v>7.3033707865169176E-3</v>
      </c>
      <c r="AA16">
        <v>168.4</v>
      </c>
      <c r="AB16" s="31">
        <f t="shared" si="12"/>
        <v>1.3237063778580128E-2</v>
      </c>
      <c r="AC16">
        <v>193.7</v>
      </c>
      <c r="AD16" s="31">
        <f t="shared" si="13"/>
        <v>4.6680497925310023E-3</v>
      </c>
      <c r="AE16">
        <v>172.1</v>
      </c>
      <c r="AF16" s="31">
        <f t="shared" si="14"/>
        <v>7.6112412177984949E-3</v>
      </c>
      <c r="AG16">
        <v>164.6</v>
      </c>
      <c r="AH16" s="31">
        <f t="shared" si="15"/>
        <v>1.354679802955658E-2</v>
      </c>
      <c r="AI16">
        <v>171.1</v>
      </c>
      <c r="AJ16" s="31">
        <f t="shared" si="16"/>
        <v>8.8443396226415092E-3</v>
      </c>
      <c r="AK16">
        <v>165.3</v>
      </c>
      <c r="AL16" s="31">
        <f t="shared" si="17"/>
        <v>-1.2084592145014418E-3</v>
      </c>
      <c r="AM16">
        <v>167.2</v>
      </c>
      <c r="AN16" s="31">
        <f t="shared" si="18"/>
        <v>9.0525045262522634E-3</v>
      </c>
      <c r="AO16">
        <v>162.80000000000001</v>
      </c>
      <c r="AP16" s="31">
        <f t="shared" si="19"/>
        <v>6.180469715698393E-3</v>
      </c>
      <c r="AQ16">
        <v>173</v>
      </c>
      <c r="AR16" s="31">
        <f t="shared" si="20"/>
        <v>4.6457607433217848E-3</v>
      </c>
      <c r="AS16">
        <v>157.9</v>
      </c>
      <c r="AT16" s="31">
        <f t="shared" si="21"/>
        <v>6.3734862970044612E-3</v>
      </c>
      <c r="AU16">
        <v>163.30000000000001</v>
      </c>
      <c r="AV16" s="31">
        <f t="shared" si="22"/>
        <v>7.4028377544726534E-3</v>
      </c>
      <c r="AW16">
        <v>166</v>
      </c>
      <c r="AX16" s="31">
        <f t="shared" si="23"/>
        <v>3.6275695284159267E-3</v>
      </c>
      <c r="AY16">
        <v>167.2</v>
      </c>
      <c r="AZ16" s="31">
        <f t="shared" si="24"/>
        <v>1.7031630170316198E-2</v>
      </c>
      <c r="BA16">
        <v>164.6</v>
      </c>
      <c r="BB16" s="31">
        <f t="shared" si="25"/>
        <v>6.7278287461773351E-3</v>
      </c>
      <c r="BC16">
        <v>167.7</v>
      </c>
      <c r="BD16" s="31">
        <f t="shared" si="26"/>
        <v>9.6327513546056245E-3</v>
      </c>
      <c r="BE16" s="5">
        <v>117.25</v>
      </c>
      <c r="BF16" s="22">
        <f t="shared" si="27"/>
        <v>0.20714506331720381</v>
      </c>
      <c r="BH16" s="17" t="s">
        <v>384</v>
      </c>
      <c r="BI16" s="66">
        <f>CORREL(BF4:BF31,AL4:AL31)</f>
        <v>4.0448030467605277E-2</v>
      </c>
      <c r="BJ16" s="16" t="s">
        <v>401</v>
      </c>
    </row>
    <row r="17" spans="1:70">
      <c r="A17" s="4">
        <v>2022</v>
      </c>
      <c r="B17" t="s">
        <v>39</v>
      </c>
      <c r="C17">
        <v>152.9</v>
      </c>
      <c r="D17" s="31">
        <f t="shared" si="0"/>
        <v>1.0575016523463279E-2</v>
      </c>
      <c r="E17">
        <v>211.8</v>
      </c>
      <c r="F17" s="31">
        <f t="shared" si="1"/>
        <v>5.2206929283342323E-3</v>
      </c>
      <c r="G17">
        <v>164.5</v>
      </c>
      <c r="H17" s="31">
        <f t="shared" si="2"/>
        <v>-1.9666269368295658E-2</v>
      </c>
      <c r="I17">
        <v>163.9</v>
      </c>
      <c r="J17" s="31">
        <f t="shared" si="3"/>
        <v>1.0480887792848441E-2</v>
      </c>
      <c r="K17">
        <v>199.5</v>
      </c>
      <c r="L17" s="31">
        <f t="shared" si="4"/>
        <v>2.5179856115107944E-2</v>
      </c>
      <c r="M17">
        <v>172.6</v>
      </c>
      <c r="N17" s="31">
        <f t="shared" si="5"/>
        <v>9.5177664974619297E-2</v>
      </c>
      <c r="O17">
        <v>166.2</v>
      </c>
      <c r="P17" s="31">
        <f t="shared" si="6"/>
        <v>-4.1941282204914143E-3</v>
      </c>
      <c r="Q17">
        <v>164.7</v>
      </c>
      <c r="R17" s="31">
        <f t="shared" si="7"/>
        <v>4.8810250152530989E-3</v>
      </c>
      <c r="S17">
        <v>119</v>
      </c>
      <c r="T17" s="31">
        <f t="shared" si="8"/>
        <v>1.6835016835017075E-3</v>
      </c>
      <c r="U17">
        <v>181.3</v>
      </c>
      <c r="V17" s="31">
        <f t="shared" si="9"/>
        <v>2.1984216459977484E-2</v>
      </c>
      <c r="W17">
        <v>166.2</v>
      </c>
      <c r="X17" s="31">
        <f t="shared" si="10"/>
        <v>5.4446460980034916E-3</v>
      </c>
      <c r="Y17">
        <v>180.9</v>
      </c>
      <c r="Z17" s="31">
        <f t="shared" si="11"/>
        <v>8.9235917456776028E-3</v>
      </c>
      <c r="AA17">
        <v>170.8</v>
      </c>
      <c r="AB17" s="31">
        <f t="shared" si="12"/>
        <v>1.4251781472684119E-2</v>
      </c>
      <c r="AC17">
        <v>193.9</v>
      </c>
      <c r="AD17" s="31">
        <f t="shared" si="13"/>
        <v>1.0325245224574965E-3</v>
      </c>
      <c r="AE17">
        <v>173.9</v>
      </c>
      <c r="AF17" s="31">
        <f t="shared" si="14"/>
        <v>1.0459035444509072E-2</v>
      </c>
      <c r="AG17">
        <v>166.5</v>
      </c>
      <c r="AH17" s="31">
        <f t="shared" si="15"/>
        <v>1.1543134872418018E-2</v>
      </c>
      <c r="AI17">
        <v>172.8</v>
      </c>
      <c r="AJ17" s="31">
        <f t="shared" si="16"/>
        <v>9.9357101110462715E-3</v>
      </c>
      <c r="AK17">
        <v>167</v>
      </c>
      <c r="AL17" s="31">
        <f t="shared" si="17"/>
        <v>1.0284331518451231E-2</v>
      </c>
      <c r="AM17">
        <v>172.2</v>
      </c>
      <c r="AN17" s="31">
        <f t="shared" si="18"/>
        <v>2.9904306220095697E-2</v>
      </c>
      <c r="AO17">
        <v>164</v>
      </c>
      <c r="AP17" s="31">
        <f t="shared" si="19"/>
        <v>7.371007371007301E-3</v>
      </c>
      <c r="AQ17">
        <v>174</v>
      </c>
      <c r="AR17" s="31">
        <f t="shared" si="20"/>
        <v>5.7803468208092483E-3</v>
      </c>
      <c r="AS17">
        <v>162.6</v>
      </c>
      <c r="AT17" s="31">
        <f t="shared" si="21"/>
        <v>2.9765674477517344E-2</v>
      </c>
      <c r="AU17">
        <v>164.4</v>
      </c>
      <c r="AV17" s="31">
        <f t="shared" si="22"/>
        <v>6.7360685854255618E-3</v>
      </c>
      <c r="AW17">
        <v>166.9</v>
      </c>
      <c r="AX17" s="31">
        <f t="shared" si="23"/>
        <v>5.4216867469879864E-3</v>
      </c>
      <c r="AY17">
        <v>168.8</v>
      </c>
      <c r="AZ17" s="31">
        <f t="shared" si="24"/>
        <v>9.5693779904307587E-3</v>
      </c>
      <c r="BA17">
        <v>166.8</v>
      </c>
      <c r="BB17" s="31">
        <f t="shared" si="25"/>
        <v>1.3365735115431453E-2</v>
      </c>
      <c r="BC17">
        <v>170.1</v>
      </c>
      <c r="BD17" s="31">
        <f t="shared" si="26"/>
        <v>1.4311270125223648E-2</v>
      </c>
      <c r="BE17" s="5">
        <v>104.58</v>
      </c>
      <c r="BF17" s="22">
        <f t="shared" si="27"/>
        <v>-0.10805970149253732</v>
      </c>
      <c r="BH17" s="17" t="s">
        <v>386</v>
      </c>
      <c r="BI17" s="66">
        <f>CORREL(BF4:BF31,AN4:AN31)</f>
        <v>5.4874124472065744E-3</v>
      </c>
      <c r="BJ17" s="16" t="s">
        <v>401</v>
      </c>
    </row>
    <row r="18" spans="1:70">
      <c r="A18" s="4">
        <v>2022</v>
      </c>
      <c r="B18" t="s">
        <v>41</v>
      </c>
      <c r="C18">
        <v>154.1</v>
      </c>
      <c r="D18" s="31">
        <f t="shared" si="0"/>
        <v>7.848266841072522E-3</v>
      </c>
      <c r="E18">
        <v>217</v>
      </c>
      <c r="F18" s="31">
        <f t="shared" si="1"/>
        <v>2.4551463644948011E-2</v>
      </c>
      <c r="G18">
        <v>162.4</v>
      </c>
      <c r="H18" s="31">
        <f t="shared" si="2"/>
        <v>-1.2765957446808475E-2</v>
      </c>
      <c r="I18">
        <v>164.9</v>
      </c>
      <c r="J18" s="31">
        <f t="shared" si="3"/>
        <v>6.1012812690665035E-3</v>
      </c>
      <c r="K18">
        <v>202.4</v>
      </c>
      <c r="L18" s="31">
        <f t="shared" si="4"/>
        <v>1.4536340852130354E-2</v>
      </c>
      <c r="M18">
        <v>171</v>
      </c>
      <c r="N18" s="31">
        <f t="shared" si="5"/>
        <v>-9.2699884125144513E-3</v>
      </c>
      <c r="O18">
        <v>174.9</v>
      </c>
      <c r="P18" s="31">
        <f t="shared" si="6"/>
        <v>5.2346570397112019E-2</v>
      </c>
      <c r="Q18">
        <v>164.7</v>
      </c>
      <c r="R18" s="31">
        <f t="shared" si="7"/>
        <v>0</v>
      </c>
      <c r="S18">
        <v>119.7</v>
      </c>
      <c r="T18" s="31">
        <f t="shared" si="8"/>
        <v>5.8823529411764948E-3</v>
      </c>
      <c r="U18">
        <v>184.9</v>
      </c>
      <c r="V18" s="31">
        <f t="shared" si="9"/>
        <v>1.9856591285162681E-2</v>
      </c>
      <c r="W18">
        <v>167.1</v>
      </c>
      <c r="X18" s="31">
        <f t="shared" si="10"/>
        <v>5.4151624548736807E-3</v>
      </c>
      <c r="Y18">
        <v>182.5</v>
      </c>
      <c r="Z18" s="31">
        <f t="shared" si="11"/>
        <v>8.8446655610834399E-3</v>
      </c>
      <c r="AA18">
        <v>173.3</v>
      </c>
      <c r="AB18" s="31">
        <f t="shared" si="12"/>
        <v>1.4637002341920374E-2</v>
      </c>
      <c r="AC18">
        <v>194.1</v>
      </c>
      <c r="AD18" s="31">
        <f t="shared" si="13"/>
        <v>1.0314595152139691E-3</v>
      </c>
      <c r="AE18">
        <v>175.6</v>
      </c>
      <c r="AF18" s="31">
        <f t="shared" si="14"/>
        <v>9.7757331799884339E-3</v>
      </c>
      <c r="AG18">
        <v>168.4</v>
      </c>
      <c r="AH18" s="31">
        <f t="shared" si="15"/>
        <v>1.1411411411411446E-2</v>
      </c>
      <c r="AI18">
        <v>174.6</v>
      </c>
      <c r="AJ18" s="31">
        <f t="shared" si="16"/>
        <v>1.0416666666666567E-2</v>
      </c>
      <c r="AK18">
        <v>167.5</v>
      </c>
      <c r="AL18" s="31">
        <f t="shared" si="17"/>
        <v>2.9940119760479044E-3</v>
      </c>
      <c r="AM18">
        <v>174.6</v>
      </c>
      <c r="AN18" s="31">
        <f t="shared" si="18"/>
        <v>1.3937282229965191E-2</v>
      </c>
      <c r="AO18">
        <v>165.2</v>
      </c>
      <c r="AP18" s="31">
        <f t="shared" si="19"/>
        <v>7.3170731707316384E-3</v>
      </c>
      <c r="AQ18">
        <v>174.8</v>
      </c>
      <c r="AR18" s="31">
        <f t="shared" si="20"/>
        <v>4.5977011494253523E-3</v>
      </c>
      <c r="AS18">
        <v>163</v>
      </c>
      <c r="AT18" s="31">
        <f t="shared" si="21"/>
        <v>2.4600246002460377E-3</v>
      </c>
      <c r="AU18">
        <v>165.1</v>
      </c>
      <c r="AV18" s="31">
        <f t="shared" si="22"/>
        <v>4.257907542579006E-3</v>
      </c>
      <c r="AW18">
        <v>167.9</v>
      </c>
      <c r="AX18" s="31">
        <f t="shared" si="23"/>
        <v>5.9916117435590173E-3</v>
      </c>
      <c r="AY18">
        <v>168.4</v>
      </c>
      <c r="AZ18" s="31">
        <f t="shared" si="24"/>
        <v>-2.3696682464455312E-3</v>
      </c>
      <c r="BA18">
        <v>167.5</v>
      </c>
      <c r="BB18" s="31">
        <f t="shared" si="25"/>
        <v>4.1966426858512504E-3</v>
      </c>
      <c r="BC18">
        <v>171.7</v>
      </c>
      <c r="BD18" s="31">
        <f t="shared" si="26"/>
        <v>9.4062316284538178E-3</v>
      </c>
      <c r="BE18" s="5">
        <v>113.34</v>
      </c>
      <c r="BF18" s="22">
        <f t="shared" si="27"/>
        <v>8.3763625932300675E-2</v>
      </c>
      <c r="BH18" s="17" t="s">
        <v>388</v>
      </c>
      <c r="BI18" s="66">
        <f>CORREL(BF4:BF31,AV4:AV31)</f>
        <v>3.5143576579952068E-2</v>
      </c>
      <c r="BJ18" s="16" t="s">
        <v>401</v>
      </c>
    </row>
    <row r="19" spans="1:70">
      <c r="A19" s="4">
        <v>2022</v>
      </c>
      <c r="B19" t="s">
        <v>42</v>
      </c>
      <c r="C19">
        <v>155</v>
      </c>
      <c r="D19" s="31">
        <f t="shared" si="0"/>
        <v>5.8403634003893947E-3</v>
      </c>
      <c r="E19">
        <v>219.4</v>
      </c>
      <c r="F19" s="31">
        <f t="shared" si="1"/>
        <v>1.1059907834101408E-2</v>
      </c>
      <c r="G19">
        <v>170.8</v>
      </c>
      <c r="H19" s="31">
        <f t="shared" si="2"/>
        <v>5.1724137931034517E-2</v>
      </c>
      <c r="I19">
        <v>165.8</v>
      </c>
      <c r="J19" s="31">
        <f t="shared" si="3"/>
        <v>5.4578532443905741E-3</v>
      </c>
      <c r="K19">
        <v>200.9</v>
      </c>
      <c r="L19" s="31">
        <f t="shared" si="4"/>
        <v>-7.411067193675889E-3</v>
      </c>
      <c r="M19">
        <v>169.7</v>
      </c>
      <c r="N19" s="31">
        <f t="shared" si="5"/>
        <v>-7.6023391812866164E-3</v>
      </c>
      <c r="O19">
        <v>182.3</v>
      </c>
      <c r="P19" s="31">
        <f t="shared" si="6"/>
        <v>4.230989136649517E-2</v>
      </c>
      <c r="Q19">
        <v>164.3</v>
      </c>
      <c r="R19" s="31">
        <f t="shared" si="7"/>
        <v>-2.4286581663629466E-3</v>
      </c>
      <c r="S19">
        <v>119.9</v>
      </c>
      <c r="T19" s="31">
        <f t="shared" si="8"/>
        <v>1.6708437761069578E-3</v>
      </c>
      <c r="U19">
        <v>187.1</v>
      </c>
      <c r="V19" s="31">
        <f t="shared" si="9"/>
        <v>1.1898323418063756E-2</v>
      </c>
      <c r="W19">
        <v>167.9</v>
      </c>
      <c r="X19" s="31">
        <f t="shared" si="10"/>
        <v>4.7875523638540481E-3</v>
      </c>
      <c r="Y19">
        <v>183.9</v>
      </c>
      <c r="Z19" s="31">
        <f t="shared" si="11"/>
        <v>7.6712328767123599E-3</v>
      </c>
      <c r="AA19">
        <v>174.9</v>
      </c>
      <c r="AB19" s="31">
        <f t="shared" si="12"/>
        <v>9.2325447201384546E-3</v>
      </c>
      <c r="AC19">
        <v>194.3</v>
      </c>
      <c r="AD19" s="31">
        <f t="shared" si="13"/>
        <v>1.0303967027306391E-3</v>
      </c>
      <c r="AE19">
        <v>177.1</v>
      </c>
      <c r="AF19" s="31">
        <f t="shared" si="14"/>
        <v>8.5421412300683373E-3</v>
      </c>
      <c r="AG19">
        <v>169.9</v>
      </c>
      <c r="AH19" s="31">
        <f t="shared" si="15"/>
        <v>8.9073634204275536E-3</v>
      </c>
      <c r="AI19">
        <v>176</v>
      </c>
      <c r="AJ19" s="31">
        <f t="shared" si="16"/>
        <v>8.0183276059565042E-3</v>
      </c>
      <c r="AK19">
        <v>166.8</v>
      </c>
      <c r="AL19" s="31">
        <f t="shared" si="17"/>
        <v>-4.1791044776118723E-3</v>
      </c>
      <c r="AM19">
        <v>176</v>
      </c>
      <c r="AN19" s="31">
        <f t="shared" si="18"/>
        <v>8.0183276059565042E-3</v>
      </c>
      <c r="AO19">
        <v>166.4</v>
      </c>
      <c r="AP19" s="31">
        <f t="shared" si="19"/>
        <v>7.2639225181599099E-3</v>
      </c>
      <c r="AQ19">
        <v>175.4</v>
      </c>
      <c r="AR19" s="31">
        <f t="shared" si="20"/>
        <v>3.4324942791761686E-3</v>
      </c>
      <c r="AS19">
        <v>161.1</v>
      </c>
      <c r="AT19" s="31">
        <f t="shared" si="21"/>
        <v>-1.1656441717791446E-2</v>
      </c>
      <c r="AU19">
        <v>165.8</v>
      </c>
      <c r="AV19" s="31">
        <f t="shared" si="22"/>
        <v>4.2398546335555244E-3</v>
      </c>
      <c r="AW19">
        <v>169</v>
      </c>
      <c r="AX19" s="31">
        <f t="shared" si="23"/>
        <v>6.5515187611673272E-3</v>
      </c>
      <c r="AY19">
        <v>169.4</v>
      </c>
      <c r="AZ19" s="31">
        <f t="shared" si="24"/>
        <v>5.9382422802850355E-3</v>
      </c>
      <c r="BA19">
        <v>167.5</v>
      </c>
      <c r="BB19" s="31">
        <f t="shared" si="25"/>
        <v>0</v>
      </c>
      <c r="BC19">
        <v>172.6</v>
      </c>
      <c r="BD19" s="31">
        <f t="shared" si="26"/>
        <v>5.2417006406523343E-3</v>
      </c>
      <c r="BE19" s="5">
        <v>122.71</v>
      </c>
      <c r="BF19" s="22">
        <f t="shared" si="27"/>
        <v>8.267160755249682E-2</v>
      </c>
      <c r="BH19" s="17" t="s">
        <v>17</v>
      </c>
      <c r="BI19" s="66">
        <f>CORREL(BF4:BF31,AF4:AF31)</f>
        <v>5.622725881026628E-2</v>
      </c>
      <c r="BJ19" s="16" t="s">
        <v>401</v>
      </c>
    </row>
    <row r="20" spans="1:70">
      <c r="A20" s="4">
        <v>2022</v>
      </c>
      <c r="B20" t="s">
        <v>44</v>
      </c>
      <c r="C20">
        <v>156.5</v>
      </c>
      <c r="D20" s="31">
        <f t="shared" si="0"/>
        <v>9.6774193548387101E-3</v>
      </c>
      <c r="E20">
        <v>213</v>
      </c>
      <c r="F20" s="31">
        <f t="shared" si="1"/>
        <v>-2.9170464904284436E-2</v>
      </c>
      <c r="G20">
        <v>175.2</v>
      </c>
      <c r="H20" s="31">
        <f t="shared" si="2"/>
        <v>2.5761124121779725E-2</v>
      </c>
      <c r="I20">
        <v>166.6</v>
      </c>
      <c r="J20" s="31">
        <f t="shared" si="3"/>
        <v>4.8250904704462173E-3</v>
      </c>
      <c r="K20">
        <v>195.8</v>
      </c>
      <c r="L20" s="31">
        <f t="shared" si="4"/>
        <v>-2.5385764061722219E-2</v>
      </c>
      <c r="M20">
        <v>174.2</v>
      </c>
      <c r="N20" s="31">
        <f t="shared" si="5"/>
        <v>2.6517383618149679E-2</v>
      </c>
      <c r="O20">
        <v>182.1</v>
      </c>
      <c r="P20" s="31">
        <f t="shared" si="6"/>
        <v>-1.0970927043336097E-3</v>
      </c>
      <c r="Q20">
        <v>164.3</v>
      </c>
      <c r="R20" s="31">
        <f t="shared" si="7"/>
        <v>0</v>
      </c>
      <c r="S20">
        <v>120</v>
      </c>
      <c r="T20" s="31">
        <f t="shared" si="8"/>
        <v>8.3402835696408937E-4</v>
      </c>
      <c r="U20">
        <v>190</v>
      </c>
      <c r="V20" s="31">
        <f t="shared" si="9"/>
        <v>1.5499732763228252E-2</v>
      </c>
      <c r="W20">
        <v>168.4</v>
      </c>
      <c r="X20" s="31">
        <f t="shared" si="10"/>
        <v>2.9779630732578916E-3</v>
      </c>
      <c r="Y20">
        <v>185.2</v>
      </c>
      <c r="Z20" s="31">
        <f t="shared" si="11"/>
        <v>7.0690592713430287E-3</v>
      </c>
      <c r="AA20">
        <v>175</v>
      </c>
      <c r="AB20" s="31">
        <f t="shared" si="12"/>
        <v>5.7175528873638828E-4</v>
      </c>
      <c r="AC20">
        <v>194.6</v>
      </c>
      <c r="AD20" s="31">
        <f t="shared" si="13"/>
        <v>1.5440041173442251E-3</v>
      </c>
      <c r="AE20">
        <v>178.3</v>
      </c>
      <c r="AF20" s="31">
        <f t="shared" si="14"/>
        <v>6.7758328627894812E-3</v>
      </c>
      <c r="AG20">
        <v>171.3</v>
      </c>
      <c r="AH20" s="31">
        <f t="shared" si="15"/>
        <v>8.2401412595644822E-3</v>
      </c>
      <c r="AI20">
        <v>177.3</v>
      </c>
      <c r="AJ20" s="31">
        <f t="shared" si="16"/>
        <v>7.3863636363637013E-3</v>
      </c>
      <c r="AK20">
        <v>167.8</v>
      </c>
      <c r="AL20" s="31">
        <f t="shared" si="17"/>
        <v>5.9952038369304557E-3</v>
      </c>
      <c r="AM20">
        <v>179.6</v>
      </c>
      <c r="AN20" s="31">
        <f t="shared" si="18"/>
        <v>2.0454545454545423E-2</v>
      </c>
      <c r="AO20">
        <v>167.4</v>
      </c>
      <c r="AP20" s="31">
        <f t="shared" si="19"/>
        <v>6.0096153846153841E-3</v>
      </c>
      <c r="AQ20">
        <v>176.1</v>
      </c>
      <c r="AR20" s="31">
        <f t="shared" si="20"/>
        <v>3.9908779931584299E-3</v>
      </c>
      <c r="AS20">
        <v>161.6</v>
      </c>
      <c r="AT20" s="31">
        <f t="shared" si="21"/>
        <v>3.1036623215394167E-3</v>
      </c>
      <c r="AU20">
        <v>166.3</v>
      </c>
      <c r="AV20" s="31">
        <f t="shared" si="22"/>
        <v>3.0156815440289505E-3</v>
      </c>
      <c r="AW20">
        <v>171.4</v>
      </c>
      <c r="AX20" s="31">
        <f t="shared" si="23"/>
        <v>1.4201183431952697E-2</v>
      </c>
      <c r="AY20">
        <v>169.7</v>
      </c>
      <c r="AZ20" s="31">
        <f t="shared" si="24"/>
        <v>1.7709563164107611E-3</v>
      </c>
      <c r="BA20">
        <v>168.4</v>
      </c>
      <c r="BB20" s="31">
        <f t="shared" si="25"/>
        <v>5.3731343283582433E-3</v>
      </c>
      <c r="BC20">
        <v>173.4</v>
      </c>
      <c r="BD20" s="31">
        <f t="shared" si="26"/>
        <v>4.634994206257308E-3</v>
      </c>
      <c r="BE20" s="5">
        <v>111.93</v>
      </c>
      <c r="BF20" s="22">
        <f t="shared" si="27"/>
        <v>-8.7849401026811075E-2</v>
      </c>
      <c r="BH20" s="17" t="s">
        <v>14</v>
      </c>
      <c r="BI20" s="66">
        <f>CORREL(BF4:BF31,Z4:Z31)</f>
        <v>-5.5672663228048137E-3</v>
      </c>
      <c r="BJ20" s="16" t="s">
        <v>401</v>
      </c>
    </row>
    <row r="21" spans="1:70">
      <c r="A21" s="4">
        <v>2022</v>
      </c>
      <c r="B21" t="s">
        <v>46</v>
      </c>
      <c r="C21">
        <v>160.30000000000001</v>
      </c>
      <c r="D21" s="31">
        <f t="shared" si="0"/>
        <v>2.4281150159744483E-2</v>
      </c>
      <c r="E21">
        <v>206.5</v>
      </c>
      <c r="F21" s="31">
        <f t="shared" si="1"/>
        <v>-3.0516431924882629E-2</v>
      </c>
      <c r="G21">
        <v>169.2</v>
      </c>
      <c r="H21" s="31">
        <f t="shared" si="2"/>
        <v>-3.4246575342465758E-2</v>
      </c>
      <c r="I21">
        <v>168.1</v>
      </c>
      <c r="J21" s="31">
        <f t="shared" si="3"/>
        <v>9.00360144057623E-3</v>
      </c>
      <c r="K21">
        <v>192.4</v>
      </c>
      <c r="L21" s="31">
        <f t="shared" si="4"/>
        <v>-1.7364657814096043E-2</v>
      </c>
      <c r="M21">
        <v>172.9</v>
      </c>
      <c r="N21" s="31">
        <f t="shared" si="5"/>
        <v>-7.4626865671640818E-3</v>
      </c>
      <c r="O21">
        <v>186.7</v>
      </c>
      <c r="P21" s="31">
        <f t="shared" si="6"/>
        <v>2.5260845689181737E-2</v>
      </c>
      <c r="Q21">
        <v>167.2</v>
      </c>
      <c r="R21" s="31">
        <f t="shared" si="7"/>
        <v>1.7650639074862917E-2</v>
      </c>
      <c r="S21">
        <v>120.9</v>
      </c>
      <c r="T21" s="31">
        <f t="shared" si="8"/>
        <v>7.5000000000000474E-3</v>
      </c>
      <c r="U21">
        <v>193.6</v>
      </c>
      <c r="V21" s="31">
        <f t="shared" si="9"/>
        <v>1.8947368421052602E-2</v>
      </c>
      <c r="W21">
        <v>168.8</v>
      </c>
      <c r="X21" s="31">
        <f t="shared" si="10"/>
        <v>2.3752969121140478E-3</v>
      </c>
      <c r="Y21">
        <v>186.3</v>
      </c>
      <c r="Z21" s="31">
        <f t="shared" si="11"/>
        <v>5.9395248380130824E-3</v>
      </c>
      <c r="AA21">
        <v>176.3</v>
      </c>
      <c r="AB21" s="31">
        <f t="shared" si="12"/>
        <v>7.4285714285714935E-3</v>
      </c>
      <c r="AC21">
        <v>195</v>
      </c>
      <c r="AD21" s="31">
        <f t="shared" si="13"/>
        <v>2.0554984583761853E-3</v>
      </c>
      <c r="AE21">
        <v>179.5</v>
      </c>
      <c r="AF21" s="31">
        <f t="shared" si="14"/>
        <v>6.7302299495232108E-3</v>
      </c>
      <c r="AG21">
        <v>172.7</v>
      </c>
      <c r="AH21" s="31">
        <f t="shared" si="15"/>
        <v>8.1727962638644316E-3</v>
      </c>
      <c r="AI21">
        <v>178.5</v>
      </c>
      <c r="AJ21" s="31">
        <f t="shared" si="16"/>
        <v>6.7681895093061962E-3</v>
      </c>
      <c r="AK21">
        <v>169</v>
      </c>
      <c r="AL21" s="31">
        <f t="shared" si="17"/>
        <v>7.1513706793801465E-3</v>
      </c>
      <c r="AM21">
        <v>178.8</v>
      </c>
      <c r="AN21" s="31">
        <f t="shared" si="18"/>
        <v>-4.4543429844097048E-3</v>
      </c>
      <c r="AO21">
        <v>168.5</v>
      </c>
      <c r="AP21" s="31">
        <f t="shared" si="19"/>
        <v>6.571087216248472E-3</v>
      </c>
      <c r="AQ21">
        <v>176.8</v>
      </c>
      <c r="AR21" s="31">
        <f t="shared" si="20"/>
        <v>3.9750141964793699E-3</v>
      </c>
      <c r="AS21">
        <v>161.9</v>
      </c>
      <c r="AT21" s="31">
        <f t="shared" si="21"/>
        <v>1.8564356435644268E-3</v>
      </c>
      <c r="AU21">
        <v>166.9</v>
      </c>
      <c r="AV21" s="31">
        <f t="shared" si="22"/>
        <v>3.6079374624172836E-3</v>
      </c>
      <c r="AW21">
        <v>172.3</v>
      </c>
      <c r="AX21" s="31">
        <f t="shared" si="23"/>
        <v>5.2508751458576761E-3</v>
      </c>
      <c r="AY21">
        <v>171.2</v>
      </c>
      <c r="AZ21" s="31">
        <f t="shared" si="24"/>
        <v>8.8391278727165592E-3</v>
      </c>
      <c r="BA21">
        <v>169.1</v>
      </c>
      <c r="BB21" s="31">
        <f t="shared" si="25"/>
        <v>4.1567695961994573E-3</v>
      </c>
      <c r="BC21">
        <v>174.3</v>
      </c>
      <c r="BD21" s="31">
        <f t="shared" si="26"/>
        <v>5.1903114186851538E-3</v>
      </c>
      <c r="BE21" s="5">
        <v>100.45</v>
      </c>
      <c r="BF21" s="22">
        <f t="shared" si="27"/>
        <v>-0.10256410256410259</v>
      </c>
      <c r="BH21" s="17" t="s">
        <v>392</v>
      </c>
      <c r="BI21" s="66">
        <f>CORREL(BF4:BF31,BD4:BD31)</f>
        <v>0.1812464995477453</v>
      </c>
      <c r="BJ21" s="16" t="s">
        <v>401</v>
      </c>
    </row>
    <row r="22" spans="1:70">
      <c r="A22" s="4">
        <v>2022</v>
      </c>
      <c r="B22" t="s">
        <v>48</v>
      </c>
      <c r="C22">
        <v>163.5</v>
      </c>
      <c r="D22" s="31">
        <f t="shared" si="0"/>
        <v>1.9962570180910719E-2</v>
      </c>
      <c r="E22">
        <v>209.2</v>
      </c>
      <c r="F22" s="31">
        <f t="shared" si="1"/>
        <v>1.3075060532687597E-2</v>
      </c>
      <c r="G22">
        <v>169.7</v>
      </c>
      <c r="H22" s="31">
        <f t="shared" si="2"/>
        <v>2.9550827423167852E-3</v>
      </c>
      <c r="I22">
        <v>169.7</v>
      </c>
      <c r="J22" s="31">
        <f t="shared" si="3"/>
        <v>9.5181439619273899E-3</v>
      </c>
      <c r="K22">
        <v>188.7</v>
      </c>
      <c r="L22" s="31">
        <f t="shared" si="4"/>
        <v>-1.9230769230769319E-2</v>
      </c>
      <c r="M22">
        <v>165.7</v>
      </c>
      <c r="N22" s="31">
        <f t="shared" si="5"/>
        <v>-4.1642567958357531E-2</v>
      </c>
      <c r="O22">
        <v>191.8</v>
      </c>
      <c r="P22" s="31">
        <f t="shared" si="6"/>
        <v>2.7316550615961558E-2</v>
      </c>
      <c r="Q22">
        <v>169.1</v>
      </c>
      <c r="R22" s="31">
        <f t="shared" si="7"/>
        <v>1.1363636363636399E-2</v>
      </c>
      <c r="S22">
        <v>121.6</v>
      </c>
      <c r="T22" s="31">
        <f t="shared" si="8"/>
        <v>5.7899090157153728E-3</v>
      </c>
      <c r="U22">
        <v>197.3</v>
      </c>
      <c r="V22" s="31">
        <f t="shared" si="9"/>
        <v>1.9111570247933973E-2</v>
      </c>
      <c r="W22">
        <v>169.4</v>
      </c>
      <c r="X22" s="31">
        <f t="shared" si="10"/>
        <v>3.5545023696682125E-3</v>
      </c>
      <c r="Y22">
        <v>187.4</v>
      </c>
      <c r="Z22" s="31">
        <f t="shared" si="11"/>
        <v>5.9044551798174676E-3</v>
      </c>
      <c r="AA22">
        <v>177.8</v>
      </c>
      <c r="AB22" s="31">
        <f t="shared" si="12"/>
        <v>8.5082246171298923E-3</v>
      </c>
      <c r="AC22">
        <v>195.9</v>
      </c>
      <c r="AD22" s="31">
        <f t="shared" si="13"/>
        <v>4.6153846153846444E-3</v>
      </c>
      <c r="AE22">
        <v>180.9</v>
      </c>
      <c r="AF22" s="31">
        <f t="shared" si="14"/>
        <v>7.7994428969359649E-3</v>
      </c>
      <c r="AG22">
        <v>174.3</v>
      </c>
      <c r="AH22" s="31">
        <f t="shared" si="15"/>
        <v>9.2646207295890154E-3</v>
      </c>
      <c r="AI22">
        <v>179.9</v>
      </c>
      <c r="AJ22" s="31">
        <f t="shared" si="16"/>
        <v>7.8431372549019919E-3</v>
      </c>
      <c r="AK22">
        <v>169.5</v>
      </c>
      <c r="AL22" s="31">
        <f t="shared" si="17"/>
        <v>2.9585798816568047E-3</v>
      </c>
      <c r="AM22">
        <v>179.5</v>
      </c>
      <c r="AN22" s="31">
        <f t="shared" si="18"/>
        <v>3.9149888143176093E-3</v>
      </c>
      <c r="AO22">
        <v>169.5</v>
      </c>
      <c r="AP22" s="31">
        <f t="shared" si="19"/>
        <v>5.9347181008902079E-3</v>
      </c>
      <c r="AQ22">
        <v>177.8</v>
      </c>
      <c r="AR22" s="31">
        <f t="shared" si="20"/>
        <v>5.6561085972850677E-3</v>
      </c>
      <c r="AS22">
        <v>162.30000000000001</v>
      </c>
      <c r="AT22" s="31">
        <f t="shared" si="21"/>
        <v>2.470660901791264E-3</v>
      </c>
      <c r="AU22">
        <v>167.6</v>
      </c>
      <c r="AV22" s="31">
        <f t="shared" si="22"/>
        <v>4.1941282204912443E-3</v>
      </c>
      <c r="AW22">
        <v>173.1</v>
      </c>
      <c r="AX22" s="31">
        <f t="shared" si="23"/>
        <v>4.6430644225187636E-3</v>
      </c>
      <c r="AY22">
        <v>170.9</v>
      </c>
      <c r="AZ22" s="31">
        <f t="shared" si="24"/>
        <v>-1.7523364485980313E-3</v>
      </c>
      <c r="BA22">
        <v>169.7</v>
      </c>
      <c r="BB22" s="31">
        <f t="shared" si="25"/>
        <v>3.548196333530422E-3</v>
      </c>
      <c r="BC22">
        <v>175.3</v>
      </c>
      <c r="BD22" s="31">
        <f t="shared" si="26"/>
        <v>5.737234652897303E-3</v>
      </c>
      <c r="BE22" s="5">
        <v>89.76</v>
      </c>
      <c r="BF22" s="22">
        <f t="shared" si="27"/>
        <v>-0.10642110502737678</v>
      </c>
      <c r="BH22" s="17" t="s">
        <v>24</v>
      </c>
      <c r="BI22" s="66">
        <f>CORREL(BF4:BF31,AT4:AT31)</f>
        <v>-3.4427840025981024E-2</v>
      </c>
      <c r="BJ22" s="16" t="s">
        <v>401</v>
      </c>
    </row>
    <row r="23" spans="1:70">
      <c r="A23" s="4">
        <v>2022</v>
      </c>
      <c r="B23" t="s">
        <v>50</v>
      </c>
      <c r="C23">
        <v>165.2</v>
      </c>
      <c r="D23" s="31">
        <f t="shared" si="0"/>
        <v>1.0397553516819502E-2</v>
      </c>
      <c r="E23">
        <v>210.9</v>
      </c>
      <c r="F23" s="31">
        <f t="shared" si="1"/>
        <v>8.1261950286807706E-3</v>
      </c>
      <c r="G23">
        <v>170.9</v>
      </c>
      <c r="H23" s="31">
        <f t="shared" si="2"/>
        <v>7.0713022981733478E-3</v>
      </c>
      <c r="I23">
        <v>170.9</v>
      </c>
      <c r="J23" s="31">
        <f t="shared" si="3"/>
        <v>7.0713022981733478E-3</v>
      </c>
      <c r="K23">
        <v>186.5</v>
      </c>
      <c r="L23" s="31">
        <f t="shared" si="4"/>
        <v>-1.1658717541070422E-2</v>
      </c>
      <c r="M23">
        <v>163.80000000000001</v>
      </c>
      <c r="N23" s="31">
        <f t="shared" si="5"/>
        <v>-1.1466505733252729E-2</v>
      </c>
      <c r="O23">
        <v>199.7</v>
      </c>
      <c r="P23" s="31">
        <f t="shared" si="6"/>
        <v>4.118873826903012E-2</v>
      </c>
      <c r="Q23">
        <v>169.8</v>
      </c>
      <c r="R23" s="31">
        <f t="shared" si="7"/>
        <v>4.1395623891189656E-3</v>
      </c>
      <c r="S23">
        <v>121.9</v>
      </c>
      <c r="T23" s="31">
        <f t="shared" si="8"/>
        <v>2.4671052631579883E-3</v>
      </c>
      <c r="U23">
        <v>199.9</v>
      </c>
      <c r="V23" s="31">
        <f t="shared" si="9"/>
        <v>1.3177901672579798E-2</v>
      </c>
      <c r="W23">
        <v>169.9</v>
      </c>
      <c r="X23" s="31">
        <f t="shared" si="10"/>
        <v>2.9515938606847697E-3</v>
      </c>
      <c r="Y23">
        <v>188.3</v>
      </c>
      <c r="Z23" s="31">
        <f t="shared" si="11"/>
        <v>4.8025613660619302E-3</v>
      </c>
      <c r="AA23">
        <v>179.6</v>
      </c>
      <c r="AB23" s="31">
        <f t="shared" si="12"/>
        <v>1.0123734533183255E-2</v>
      </c>
      <c r="AC23">
        <v>196.3</v>
      </c>
      <c r="AD23" s="31">
        <f t="shared" si="13"/>
        <v>2.0418580908627142E-3</v>
      </c>
      <c r="AE23">
        <v>181.9</v>
      </c>
      <c r="AF23" s="31">
        <f t="shared" si="14"/>
        <v>5.5279159756771697E-3</v>
      </c>
      <c r="AG23">
        <v>175.3</v>
      </c>
      <c r="AH23" s="31">
        <f t="shared" si="15"/>
        <v>5.737234652897303E-3</v>
      </c>
      <c r="AI23">
        <v>181</v>
      </c>
      <c r="AJ23" s="31">
        <f t="shared" si="16"/>
        <v>6.1145080600333197E-3</v>
      </c>
      <c r="AK23">
        <v>171.2</v>
      </c>
      <c r="AL23" s="31">
        <f t="shared" si="17"/>
        <v>1.0029498525073679E-2</v>
      </c>
      <c r="AM23">
        <v>180.5</v>
      </c>
      <c r="AN23" s="31">
        <f t="shared" si="18"/>
        <v>5.5710306406685237E-3</v>
      </c>
      <c r="AO23">
        <v>170.4</v>
      </c>
      <c r="AP23" s="31">
        <f t="shared" si="19"/>
        <v>5.30973451327437E-3</v>
      </c>
      <c r="AQ23">
        <v>178.7</v>
      </c>
      <c r="AR23" s="31">
        <f t="shared" si="20"/>
        <v>5.0618672665915477E-3</v>
      </c>
      <c r="AS23">
        <v>162.9</v>
      </c>
      <c r="AT23" s="31">
        <f t="shared" si="21"/>
        <v>3.6968576709796321E-3</v>
      </c>
      <c r="AU23">
        <v>168.2</v>
      </c>
      <c r="AV23" s="31">
        <f t="shared" si="22"/>
        <v>3.579952267303069E-3</v>
      </c>
      <c r="AW23">
        <v>173.4</v>
      </c>
      <c r="AX23" s="31">
        <f t="shared" si="23"/>
        <v>1.7331022530329948E-3</v>
      </c>
      <c r="AY23">
        <v>172.1</v>
      </c>
      <c r="AZ23" s="31">
        <f t="shared" si="24"/>
        <v>7.021650087770559E-3</v>
      </c>
      <c r="BA23">
        <v>170.5</v>
      </c>
      <c r="BB23" s="31">
        <f t="shared" si="25"/>
        <v>4.7142015321155655E-3</v>
      </c>
      <c r="BC23">
        <v>176.7</v>
      </c>
      <c r="BD23" s="31">
        <f t="shared" si="26"/>
        <v>7.9863091842554308E-3</v>
      </c>
      <c r="BE23" s="5">
        <v>93.33</v>
      </c>
      <c r="BF23" s="22">
        <f t="shared" si="27"/>
        <v>3.9772727272727196E-2</v>
      </c>
      <c r="BH23" s="17" t="s">
        <v>387</v>
      </c>
      <c r="BI23" s="66">
        <f>CORREL(BF4:BF31,AR4:AR31)</f>
        <v>-1.6695592437166711E-2</v>
      </c>
      <c r="BJ23" s="16" t="s">
        <v>401</v>
      </c>
    </row>
    <row r="24" spans="1:70" ht="15" thickBot="1">
      <c r="A24" s="4">
        <v>2022</v>
      </c>
      <c r="B24" t="s">
        <v>53</v>
      </c>
      <c r="C24">
        <v>167.4</v>
      </c>
      <c r="D24" s="31">
        <f t="shared" si="0"/>
        <v>1.3317191283293082E-2</v>
      </c>
      <c r="E24">
        <v>209.4</v>
      </c>
      <c r="F24" s="31">
        <f t="shared" si="1"/>
        <v>-7.1123755334281651E-3</v>
      </c>
      <c r="G24">
        <v>181.4</v>
      </c>
      <c r="H24" s="31">
        <f t="shared" si="2"/>
        <v>6.1439438267992974E-2</v>
      </c>
      <c r="I24">
        <v>172.3</v>
      </c>
      <c r="J24" s="31">
        <f t="shared" si="3"/>
        <v>8.1919251023990971E-3</v>
      </c>
      <c r="K24">
        <v>188.9</v>
      </c>
      <c r="L24" s="31">
        <f t="shared" si="4"/>
        <v>1.286863270777483E-2</v>
      </c>
      <c r="M24">
        <v>160.69999999999999</v>
      </c>
      <c r="N24" s="31">
        <f t="shared" si="5"/>
        <v>-1.8925518925519063E-2</v>
      </c>
      <c r="O24">
        <v>183.1</v>
      </c>
      <c r="P24" s="31">
        <f t="shared" si="6"/>
        <v>-8.3124687030545791E-2</v>
      </c>
      <c r="Q24">
        <v>170.5</v>
      </c>
      <c r="R24" s="31">
        <f t="shared" si="7"/>
        <v>4.1224970553591792E-3</v>
      </c>
      <c r="S24">
        <v>122.1</v>
      </c>
      <c r="T24" s="31">
        <f t="shared" si="8"/>
        <v>1.640689089417462E-3</v>
      </c>
      <c r="U24">
        <v>202.8</v>
      </c>
      <c r="V24" s="31">
        <f t="shared" si="9"/>
        <v>1.4507253626813434E-2</v>
      </c>
      <c r="W24">
        <v>170.4</v>
      </c>
      <c r="X24" s="31">
        <f t="shared" si="10"/>
        <v>2.942907592701589E-3</v>
      </c>
      <c r="Y24">
        <v>189.5</v>
      </c>
      <c r="Z24" s="31">
        <f t="shared" si="11"/>
        <v>6.3728093467869812E-3</v>
      </c>
      <c r="AA24">
        <v>178.3</v>
      </c>
      <c r="AB24" s="31">
        <f t="shared" si="12"/>
        <v>-7.2383073496658295E-3</v>
      </c>
      <c r="AC24">
        <v>196.9</v>
      </c>
      <c r="AD24" s="31">
        <f t="shared" si="13"/>
        <v>3.0565461029036897E-3</v>
      </c>
      <c r="AE24">
        <v>183.1</v>
      </c>
      <c r="AF24" s="31">
        <f t="shared" si="14"/>
        <v>6.5970313358987825E-3</v>
      </c>
      <c r="AG24">
        <v>176.2</v>
      </c>
      <c r="AH24" s="31">
        <f t="shared" si="15"/>
        <v>5.1340559041641596E-3</v>
      </c>
      <c r="AI24">
        <v>182.1</v>
      </c>
      <c r="AJ24" s="31">
        <f t="shared" si="16"/>
        <v>6.0773480662983112E-3</v>
      </c>
      <c r="AK24">
        <v>171.8</v>
      </c>
      <c r="AL24" s="31">
        <f t="shared" si="17"/>
        <v>3.5046728971963948E-3</v>
      </c>
      <c r="AM24">
        <v>181.3</v>
      </c>
      <c r="AN24" s="31">
        <f t="shared" si="18"/>
        <v>4.4321329639889825E-3</v>
      </c>
      <c r="AO24">
        <v>171.4</v>
      </c>
      <c r="AP24" s="31">
        <f t="shared" si="19"/>
        <v>5.8685446009389668E-3</v>
      </c>
      <c r="AQ24">
        <v>179.8</v>
      </c>
      <c r="AR24" s="31">
        <f t="shared" si="20"/>
        <v>6.1555679910465745E-3</v>
      </c>
      <c r="AS24">
        <v>163</v>
      </c>
      <c r="AT24" s="31">
        <f t="shared" si="21"/>
        <v>6.1387354205030267E-4</v>
      </c>
      <c r="AU24">
        <v>168.5</v>
      </c>
      <c r="AV24" s="31">
        <f t="shared" si="22"/>
        <v>1.7835909631391878E-3</v>
      </c>
      <c r="AW24">
        <v>173.7</v>
      </c>
      <c r="AX24" s="31">
        <f t="shared" si="23"/>
        <v>1.7301038062282753E-3</v>
      </c>
      <c r="AY24">
        <v>173.6</v>
      </c>
      <c r="AZ24" s="31">
        <f t="shared" si="24"/>
        <v>8.7158628704241715E-3</v>
      </c>
      <c r="BA24">
        <v>171.1</v>
      </c>
      <c r="BB24" s="31">
        <f t="shared" si="25"/>
        <v>3.5190615835776792E-3</v>
      </c>
      <c r="BC24">
        <v>176.5</v>
      </c>
      <c r="BD24" s="31">
        <f t="shared" si="26"/>
        <v>-1.1318619128465684E-3</v>
      </c>
      <c r="BE24" s="5">
        <v>91.42</v>
      </c>
      <c r="BF24" s="22">
        <f t="shared" si="27"/>
        <v>-2.0465016607735954E-2</v>
      </c>
      <c r="BH24" s="17" t="s">
        <v>391</v>
      </c>
      <c r="BI24" s="66">
        <f>CORREL(BF4:BF31,BB4:BB31)</f>
        <v>9.479880910114373E-4</v>
      </c>
      <c r="BJ24" s="16" t="s">
        <v>401</v>
      </c>
    </row>
    <row r="25" spans="1:70">
      <c r="A25" s="4">
        <v>2022</v>
      </c>
      <c r="B25" t="s">
        <v>55</v>
      </c>
      <c r="C25">
        <v>169.2</v>
      </c>
      <c r="D25" s="31">
        <f t="shared" si="0"/>
        <v>1.0752688172042909E-2</v>
      </c>
      <c r="E25">
        <v>209</v>
      </c>
      <c r="F25" s="31">
        <f t="shared" si="1"/>
        <v>-1.9102196752626823E-3</v>
      </c>
      <c r="G25">
        <v>190.2</v>
      </c>
      <c r="H25" s="31">
        <f t="shared" si="2"/>
        <v>4.8511576626240255E-2</v>
      </c>
      <c r="I25">
        <v>173.6</v>
      </c>
      <c r="J25" s="31">
        <f t="shared" si="3"/>
        <v>7.5449796865930518E-3</v>
      </c>
      <c r="K25">
        <v>188.5</v>
      </c>
      <c r="L25" s="31">
        <f t="shared" si="4"/>
        <v>-2.1175224986765785E-3</v>
      </c>
      <c r="M25">
        <v>158</v>
      </c>
      <c r="N25" s="31">
        <f t="shared" si="5"/>
        <v>-1.6801493466085806E-2</v>
      </c>
      <c r="O25">
        <v>159.9</v>
      </c>
      <c r="P25" s="31">
        <f t="shared" si="6"/>
        <v>-0.12670671764063349</v>
      </c>
      <c r="Q25">
        <v>170.8</v>
      </c>
      <c r="R25" s="31">
        <f t="shared" si="7"/>
        <v>1.7595307917889231E-3</v>
      </c>
      <c r="S25">
        <v>121.8</v>
      </c>
      <c r="T25" s="31">
        <f t="shared" si="8"/>
        <v>-2.457002457002434E-3</v>
      </c>
      <c r="U25">
        <v>205.2</v>
      </c>
      <c r="V25" s="31">
        <f t="shared" si="9"/>
        <v>1.1834319526627106E-2</v>
      </c>
      <c r="W25">
        <v>171</v>
      </c>
      <c r="X25" s="31">
        <f t="shared" si="10"/>
        <v>3.521126760563347E-3</v>
      </c>
      <c r="Y25">
        <v>190.3</v>
      </c>
      <c r="Z25" s="31">
        <f t="shared" si="11"/>
        <v>4.2216358839050729E-3</v>
      </c>
      <c r="AA25">
        <v>175.9</v>
      </c>
      <c r="AB25" s="31">
        <f t="shared" si="12"/>
        <v>-1.3460459899046581E-2</v>
      </c>
      <c r="AC25">
        <v>197.3</v>
      </c>
      <c r="AD25" s="31">
        <f t="shared" si="13"/>
        <v>2.031488065007647E-3</v>
      </c>
      <c r="AE25">
        <v>184</v>
      </c>
      <c r="AF25" s="31">
        <f t="shared" si="14"/>
        <v>4.9153468050246079E-3</v>
      </c>
      <c r="AG25">
        <v>177</v>
      </c>
      <c r="AH25" s="31">
        <f t="shared" si="15"/>
        <v>4.5402951191828118E-3</v>
      </c>
      <c r="AI25">
        <v>183</v>
      </c>
      <c r="AJ25" s="31">
        <f t="shared" si="16"/>
        <v>4.9423393739703777E-3</v>
      </c>
      <c r="AK25">
        <v>170.7</v>
      </c>
      <c r="AL25" s="31">
        <f t="shared" si="17"/>
        <v>-6.4027939464494921E-3</v>
      </c>
      <c r="AM25">
        <v>182</v>
      </c>
      <c r="AN25" s="31">
        <f t="shared" si="18"/>
        <v>3.8610038610037982E-3</v>
      </c>
      <c r="AO25">
        <v>172.1</v>
      </c>
      <c r="AP25" s="31">
        <f t="shared" si="19"/>
        <v>4.0840140023336562E-3</v>
      </c>
      <c r="AQ25">
        <v>181.1</v>
      </c>
      <c r="AR25" s="31">
        <f t="shared" si="20"/>
        <v>7.2302558398219295E-3</v>
      </c>
      <c r="AS25">
        <v>163.4</v>
      </c>
      <c r="AT25" s="31">
        <f t="shared" si="21"/>
        <v>2.4539877300613845E-3</v>
      </c>
      <c r="AU25">
        <v>168.9</v>
      </c>
      <c r="AV25" s="31">
        <f t="shared" si="22"/>
        <v>2.3738872403561168E-3</v>
      </c>
      <c r="AW25">
        <v>174.1</v>
      </c>
      <c r="AX25" s="31">
        <f t="shared" si="23"/>
        <v>2.3028209556707293E-3</v>
      </c>
      <c r="AY25">
        <v>175.8</v>
      </c>
      <c r="AZ25" s="31">
        <f t="shared" si="24"/>
        <v>1.2672811059907932E-2</v>
      </c>
      <c r="BA25">
        <v>172</v>
      </c>
      <c r="BB25" s="31">
        <f t="shared" si="25"/>
        <v>5.2600818234950653E-3</v>
      </c>
      <c r="BC25">
        <v>175.7</v>
      </c>
      <c r="BD25" s="31">
        <f t="shared" si="26"/>
        <v>-4.5325779036827843E-3</v>
      </c>
      <c r="BE25" s="5">
        <v>80.92</v>
      </c>
      <c r="BF25" s="22">
        <f t="shared" si="27"/>
        <v>-0.11485451761102602</v>
      </c>
      <c r="BH25" s="17" t="s">
        <v>390</v>
      </c>
      <c r="BI25" s="66">
        <f>CORREL(BF1:BF22,AZ1:AZ22)</f>
        <v>6.0593927177713301E-2</v>
      </c>
      <c r="BJ25" s="16" t="s">
        <v>401</v>
      </c>
      <c r="BL25" s="90" t="s">
        <v>301</v>
      </c>
      <c r="BM25" s="99"/>
      <c r="BN25" s="99"/>
      <c r="BO25" s="99"/>
      <c r="BP25" s="99"/>
      <c r="BQ25" s="99"/>
      <c r="BR25" s="91"/>
    </row>
    <row r="26" spans="1:70" ht="15" thickBot="1">
      <c r="A26" s="4">
        <v>2023</v>
      </c>
      <c r="B26" t="s">
        <v>31</v>
      </c>
      <c r="C26">
        <v>173.8</v>
      </c>
      <c r="D26" s="31">
        <f t="shared" si="0"/>
        <v>2.7186761229314557E-2</v>
      </c>
      <c r="E26">
        <v>210.7</v>
      </c>
      <c r="F26" s="31">
        <f t="shared" si="1"/>
        <v>8.1339712918659744E-3</v>
      </c>
      <c r="G26">
        <v>194.5</v>
      </c>
      <c r="H26" s="31">
        <f t="shared" si="2"/>
        <v>2.2607781282860208E-2</v>
      </c>
      <c r="I26">
        <v>174.6</v>
      </c>
      <c r="J26" s="31">
        <f t="shared" si="3"/>
        <v>5.7603686635944703E-3</v>
      </c>
      <c r="K26">
        <v>187.2</v>
      </c>
      <c r="L26" s="31">
        <f t="shared" si="4"/>
        <v>-6.8965517241379917E-3</v>
      </c>
      <c r="M26">
        <v>158.30000000000001</v>
      </c>
      <c r="N26" s="31">
        <f t="shared" si="5"/>
        <v>1.8987341772152618E-3</v>
      </c>
      <c r="O26">
        <v>153.9</v>
      </c>
      <c r="P26" s="31">
        <f t="shared" si="6"/>
        <v>-3.7523452157598496E-2</v>
      </c>
      <c r="Q26">
        <v>170.9</v>
      </c>
      <c r="R26" s="31">
        <f t="shared" si="7"/>
        <v>5.854800936767817E-4</v>
      </c>
      <c r="S26">
        <v>121.1</v>
      </c>
      <c r="T26" s="31">
        <f t="shared" si="8"/>
        <v>-5.7471264367816325E-3</v>
      </c>
      <c r="U26">
        <v>208.4</v>
      </c>
      <c r="V26" s="31">
        <f t="shared" si="9"/>
        <v>1.5594541910331468E-2</v>
      </c>
      <c r="W26">
        <v>171.4</v>
      </c>
      <c r="X26" s="31">
        <f t="shared" si="10"/>
        <v>2.339181286549741E-3</v>
      </c>
      <c r="Y26">
        <v>191.2</v>
      </c>
      <c r="Z26" s="31">
        <f t="shared" si="11"/>
        <v>4.7293746715710832E-3</v>
      </c>
      <c r="AA26">
        <v>176.7</v>
      </c>
      <c r="AB26" s="31">
        <f t="shared" si="12"/>
        <v>4.5480386583284984E-3</v>
      </c>
      <c r="AC26">
        <v>198.2</v>
      </c>
      <c r="AD26" s="31">
        <f t="shared" si="13"/>
        <v>4.5615813482005937E-3</v>
      </c>
      <c r="AE26">
        <v>184.9</v>
      </c>
      <c r="AF26" s="31">
        <f t="shared" si="14"/>
        <v>4.8913043478261177E-3</v>
      </c>
      <c r="AG26">
        <v>177.6</v>
      </c>
      <c r="AH26" s="31">
        <f t="shared" si="15"/>
        <v>3.3898305084745441E-3</v>
      </c>
      <c r="AI26">
        <v>183.8</v>
      </c>
      <c r="AJ26" s="31">
        <f t="shared" si="16"/>
        <v>4.3715846994536144E-3</v>
      </c>
      <c r="AK26">
        <v>172.1</v>
      </c>
      <c r="AL26" s="31">
        <f t="shared" si="17"/>
        <v>8.201523140011751E-3</v>
      </c>
      <c r="AM26">
        <v>182</v>
      </c>
      <c r="AN26" s="31">
        <f t="shared" si="18"/>
        <v>0</v>
      </c>
      <c r="AO26">
        <v>172.9</v>
      </c>
      <c r="AP26" s="31">
        <f t="shared" si="19"/>
        <v>4.648460197559625E-3</v>
      </c>
      <c r="AQ26">
        <v>182.3</v>
      </c>
      <c r="AR26" s="31">
        <f t="shared" si="20"/>
        <v>6.6261733848703317E-3</v>
      </c>
      <c r="AS26">
        <v>163.6</v>
      </c>
      <c r="AT26" s="31">
        <f t="shared" si="21"/>
        <v>1.2239902080782657E-3</v>
      </c>
      <c r="AU26">
        <v>169.5</v>
      </c>
      <c r="AV26" s="31">
        <f t="shared" si="22"/>
        <v>3.5523978685612452E-3</v>
      </c>
      <c r="AW26">
        <v>174.3</v>
      </c>
      <c r="AX26" s="31">
        <f t="shared" si="23"/>
        <v>1.1487650775417408E-3</v>
      </c>
      <c r="AY26">
        <v>178.6</v>
      </c>
      <c r="AZ26" s="31">
        <f t="shared" si="24"/>
        <v>1.5927189988623337E-2</v>
      </c>
      <c r="BA26">
        <v>172.8</v>
      </c>
      <c r="BB26" s="31">
        <f t="shared" si="25"/>
        <v>4.6511627906977403E-3</v>
      </c>
      <c r="BC26">
        <v>176.5</v>
      </c>
      <c r="BD26" s="31">
        <f t="shared" si="26"/>
        <v>4.5532157085942599E-3</v>
      </c>
      <c r="BE26" s="5">
        <v>82.5</v>
      </c>
      <c r="BF26" s="22">
        <f t="shared" si="27"/>
        <v>1.9525457241720195E-2</v>
      </c>
      <c r="BH26" s="17" t="s">
        <v>379</v>
      </c>
      <c r="BI26" s="66">
        <f>CORREL(BF5:BF32,N5:N32)</f>
        <v>4.2647802822764209E-2</v>
      </c>
      <c r="BJ26" s="16" t="s">
        <v>401</v>
      </c>
      <c r="BL26" s="92"/>
      <c r="BM26" s="100"/>
      <c r="BN26" s="100"/>
      <c r="BO26" s="100"/>
      <c r="BP26" s="100"/>
      <c r="BQ26" s="100"/>
      <c r="BR26" s="93"/>
    </row>
    <row r="27" spans="1:70" ht="14.25" customHeight="1">
      <c r="A27" s="4">
        <v>2023</v>
      </c>
      <c r="B27" t="s">
        <v>36</v>
      </c>
      <c r="C27">
        <v>174.4</v>
      </c>
      <c r="D27" s="31">
        <f t="shared" si="0"/>
        <v>3.4522439585730398E-3</v>
      </c>
      <c r="E27">
        <v>207.7</v>
      </c>
      <c r="F27" s="31">
        <f t="shared" si="1"/>
        <v>-1.423825344091125E-2</v>
      </c>
      <c r="G27">
        <v>175.2</v>
      </c>
      <c r="H27" s="31">
        <f t="shared" si="2"/>
        <v>-9.9228791773778982E-2</v>
      </c>
      <c r="I27">
        <v>177.3</v>
      </c>
      <c r="J27" s="31">
        <f t="shared" si="3"/>
        <v>1.5463917525773294E-2</v>
      </c>
      <c r="K27">
        <v>179.3</v>
      </c>
      <c r="L27" s="31">
        <f t="shared" si="4"/>
        <v>-4.2200854700854579E-2</v>
      </c>
      <c r="M27">
        <v>169.5</v>
      </c>
      <c r="N27" s="31">
        <f t="shared" si="5"/>
        <v>7.0751737207833149E-2</v>
      </c>
      <c r="O27">
        <v>152.69999999999999</v>
      </c>
      <c r="P27" s="31">
        <f t="shared" si="6"/>
        <v>-7.7972709551658026E-3</v>
      </c>
      <c r="Q27">
        <v>171</v>
      </c>
      <c r="R27" s="31">
        <f t="shared" si="7"/>
        <v>5.8513750731418557E-4</v>
      </c>
      <c r="S27">
        <v>120</v>
      </c>
      <c r="T27" s="31">
        <f t="shared" si="8"/>
        <v>-9.0834021469859156E-3</v>
      </c>
      <c r="U27">
        <v>209.7</v>
      </c>
      <c r="V27" s="31">
        <f t="shared" si="9"/>
        <v>6.2380038387715112E-3</v>
      </c>
      <c r="W27">
        <v>172.3</v>
      </c>
      <c r="X27" s="31">
        <f t="shared" si="10"/>
        <v>5.2508751458576761E-3</v>
      </c>
      <c r="Y27">
        <v>193</v>
      </c>
      <c r="Z27" s="31">
        <f t="shared" si="11"/>
        <v>9.4142259414226534E-3</v>
      </c>
      <c r="AA27">
        <v>177</v>
      </c>
      <c r="AB27" s="31">
        <f t="shared" si="12"/>
        <v>1.6977928692700134E-3</v>
      </c>
      <c r="AC27">
        <v>199.5</v>
      </c>
      <c r="AD27" s="31">
        <f t="shared" si="13"/>
        <v>6.5590312815338621E-3</v>
      </c>
      <c r="AE27">
        <v>186.2</v>
      </c>
      <c r="AF27" s="31">
        <f t="shared" si="14"/>
        <v>7.0308274743103453E-3</v>
      </c>
      <c r="AG27">
        <v>178.7</v>
      </c>
      <c r="AH27" s="31">
        <f t="shared" si="15"/>
        <v>6.1936936936936617E-3</v>
      </c>
      <c r="AI27">
        <v>185.1</v>
      </c>
      <c r="AJ27" s="31">
        <f t="shared" si="16"/>
        <v>7.0729053318823879E-3</v>
      </c>
      <c r="AK27">
        <v>173.5</v>
      </c>
      <c r="AL27" s="31">
        <f t="shared" si="17"/>
        <v>8.1348053457292614E-3</v>
      </c>
      <c r="AM27">
        <v>182.1</v>
      </c>
      <c r="AN27" s="31">
        <f t="shared" si="18"/>
        <v>5.4945054945051823E-4</v>
      </c>
      <c r="AO27">
        <v>174.2</v>
      </c>
      <c r="AP27" s="31">
        <f t="shared" si="19"/>
        <v>7.5187969924811037E-3</v>
      </c>
      <c r="AQ27">
        <v>184.4</v>
      </c>
      <c r="AR27" s="31">
        <f t="shared" si="20"/>
        <v>1.1519473395501889E-2</v>
      </c>
      <c r="AS27">
        <v>164.2</v>
      </c>
      <c r="AT27" s="31">
        <f t="shared" si="21"/>
        <v>3.6674816625916523E-3</v>
      </c>
      <c r="AU27">
        <v>170.3</v>
      </c>
      <c r="AV27" s="31">
        <f t="shared" si="22"/>
        <v>4.7197640117994768E-3</v>
      </c>
      <c r="AW27">
        <v>175</v>
      </c>
      <c r="AX27" s="31">
        <f t="shared" si="23"/>
        <v>4.016064257028047E-3</v>
      </c>
      <c r="AY27">
        <v>181</v>
      </c>
      <c r="AZ27" s="31">
        <f t="shared" si="24"/>
        <v>1.3437849944008991E-2</v>
      </c>
      <c r="BA27">
        <v>174.1</v>
      </c>
      <c r="BB27" s="31">
        <f t="shared" si="25"/>
        <v>7.5231481481480489E-3</v>
      </c>
      <c r="BC27">
        <v>177.2</v>
      </c>
      <c r="BD27" s="31">
        <f t="shared" si="26"/>
        <v>3.9660056657223148E-3</v>
      </c>
      <c r="BE27" s="5">
        <v>82.59</v>
      </c>
      <c r="BF27" s="22">
        <f t="shared" si="27"/>
        <v>1.0909090909091322E-3</v>
      </c>
      <c r="BH27" s="17" t="s">
        <v>15</v>
      </c>
      <c r="BI27" s="66">
        <f>CORREL(BF5:BF32,AB5:AB32)</f>
        <v>0.25496019634011396</v>
      </c>
      <c r="BJ27" s="16" t="s">
        <v>401</v>
      </c>
      <c r="BL27" s="126" t="s">
        <v>424</v>
      </c>
      <c r="BM27" s="94"/>
      <c r="BN27" s="94"/>
      <c r="BO27" s="94"/>
      <c r="BP27" s="94"/>
      <c r="BQ27" s="94"/>
      <c r="BR27" s="127"/>
    </row>
    <row r="28" spans="1:70">
      <c r="A28" s="4">
        <v>2023</v>
      </c>
      <c r="B28" t="s">
        <v>38</v>
      </c>
      <c r="C28">
        <v>174.4</v>
      </c>
      <c r="D28" s="31">
        <f t="shared" si="0"/>
        <v>0</v>
      </c>
      <c r="E28">
        <v>207.7</v>
      </c>
      <c r="F28" s="31">
        <f t="shared" si="1"/>
        <v>0</v>
      </c>
      <c r="G28">
        <v>175.2</v>
      </c>
      <c r="H28" s="31">
        <f t="shared" si="2"/>
        <v>0</v>
      </c>
      <c r="I28">
        <v>177.3</v>
      </c>
      <c r="J28" s="31">
        <f t="shared" si="3"/>
        <v>0</v>
      </c>
      <c r="K28">
        <v>179.2</v>
      </c>
      <c r="L28" s="31">
        <f t="shared" si="4"/>
        <v>-5.5772448410497898E-4</v>
      </c>
      <c r="M28">
        <v>169.5</v>
      </c>
      <c r="N28" s="31">
        <f t="shared" si="5"/>
        <v>0</v>
      </c>
      <c r="O28">
        <v>152.80000000000001</v>
      </c>
      <c r="P28" s="31">
        <f t="shared" si="6"/>
        <v>6.5487884741337755E-4</v>
      </c>
      <c r="Q28">
        <v>171.1</v>
      </c>
      <c r="R28" s="31">
        <f t="shared" si="7"/>
        <v>5.8479532163739363E-4</v>
      </c>
      <c r="S28">
        <v>120</v>
      </c>
      <c r="T28" s="31">
        <f t="shared" si="8"/>
        <v>0</v>
      </c>
      <c r="U28">
        <v>209.7</v>
      </c>
      <c r="V28" s="31">
        <f t="shared" si="9"/>
        <v>0</v>
      </c>
      <c r="W28">
        <v>172.3</v>
      </c>
      <c r="X28" s="31">
        <f t="shared" si="10"/>
        <v>0</v>
      </c>
      <c r="Y28">
        <v>193</v>
      </c>
      <c r="Z28" s="31">
        <f t="shared" si="11"/>
        <v>0</v>
      </c>
      <c r="AA28">
        <v>177</v>
      </c>
      <c r="AB28" s="31">
        <f t="shared" si="12"/>
        <v>0</v>
      </c>
      <c r="AC28">
        <v>199.5</v>
      </c>
      <c r="AD28" s="31">
        <f t="shared" si="13"/>
        <v>0</v>
      </c>
      <c r="AE28">
        <v>186.1</v>
      </c>
      <c r="AF28" s="31">
        <f t="shared" si="14"/>
        <v>-5.3705692803434116E-4</v>
      </c>
      <c r="AG28">
        <v>178.7</v>
      </c>
      <c r="AH28" s="31">
        <f t="shared" si="15"/>
        <v>0</v>
      </c>
      <c r="AI28">
        <v>185.1</v>
      </c>
      <c r="AJ28" s="31">
        <f t="shared" si="16"/>
        <v>0</v>
      </c>
      <c r="AK28">
        <v>173.5</v>
      </c>
      <c r="AL28" s="31">
        <f t="shared" si="17"/>
        <v>0</v>
      </c>
      <c r="AM28">
        <v>181.9</v>
      </c>
      <c r="AN28" s="31">
        <f t="shared" si="18"/>
        <v>-1.0982976386600144E-3</v>
      </c>
      <c r="AO28">
        <v>174.2</v>
      </c>
      <c r="AP28" s="31">
        <f t="shared" si="19"/>
        <v>0</v>
      </c>
      <c r="AQ28">
        <v>184.4</v>
      </c>
      <c r="AR28" s="31">
        <f t="shared" si="20"/>
        <v>0</v>
      </c>
      <c r="AS28">
        <v>164.2</v>
      </c>
      <c r="AT28" s="31">
        <f t="shared" si="21"/>
        <v>0</v>
      </c>
      <c r="AU28">
        <v>170.3</v>
      </c>
      <c r="AV28" s="31">
        <f t="shared" si="22"/>
        <v>0</v>
      </c>
      <c r="AW28">
        <v>175</v>
      </c>
      <c r="AX28" s="31">
        <f t="shared" si="23"/>
        <v>0</v>
      </c>
      <c r="AY28">
        <v>181</v>
      </c>
      <c r="AZ28" s="31">
        <f t="shared" si="24"/>
        <v>0</v>
      </c>
      <c r="BA28">
        <v>174.1</v>
      </c>
      <c r="BB28" s="31">
        <f t="shared" si="25"/>
        <v>0</v>
      </c>
      <c r="BC28">
        <v>177.2</v>
      </c>
      <c r="BD28" s="31">
        <f t="shared" si="26"/>
        <v>0</v>
      </c>
      <c r="BE28" s="5">
        <v>78.430000000000007</v>
      </c>
      <c r="BF28" s="22">
        <f t="shared" si="27"/>
        <v>-5.0369294103402303E-2</v>
      </c>
      <c r="BH28" s="17" t="s">
        <v>385</v>
      </c>
      <c r="BI28" s="66">
        <f>CORREL(BF4:BF31,AP4:AP31)</f>
        <v>-6.6793396481847154E-4</v>
      </c>
      <c r="BJ28" s="16" t="s">
        <v>401</v>
      </c>
      <c r="BL28" s="128"/>
      <c r="BM28" s="95"/>
      <c r="BN28" s="95"/>
      <c r="BO28" s="95"/>
      <c r="BP28" s="95"/>
      <c r="BQ28" s="95"/>
      <c r="BR28" s="129"/>
    </row>
    <row r="29" spans="1:70" ht="14.25" customHeight="1" thickBot="1">
      <c r="A29" s="4">
        <v>2023</v>
      </c>
      <c r="B29" t="s">
        <v>39</v>
      </c>
      <c r="C29">
        <v>173.8</v>
      </c>
      <c r="D29" s="31">
        <f t="shared" si="0"/>
        <v>-3.4403669724770315E-3</v>
      </c>
      <c r="E29">
        <v>209.3</v>
      </c>
      <c r="F29" s="31">
        <f t="shared" si="1"/>
        <v>7.7034183919115207E-3</v>
      </c>
      <c r="G29">
        <v>169.6</v>
      </c>
      <c r="H29" s="31">
        <f t="shared" si="2"/>
        <v>-3.1963470319634674E-2</v>
      </c>
      <c r="I29">
        <v>178.4</v>
      </c>
      <c r="J29" s="31">
        <f t="shared" si="3"/>
        <v>6.2041737168640398E-3</v>
      </c>
      <c r="K29">
        <v>174.9</v>
      </c>
      <c r="L29" s="31">
        <f t="shared" si="4"/>
        <v>-2.3995535714285622E-2</v>
      </c>
      <c r="M29">
        <v>176.3</v>
      </c>
      <c r="N29" s="31">
        <f t="shared" si="5"/>
        <v>4.0117994100295054E-2</v>
      </c>
      <c r="O29">
        <v>155.4</v>
      </c>
      <c r="P29" s="31">
        <f t="shared" si="6"/>
        <v>1.7015706806282685E-2</v>
      </c>
      <c r="Q29">
        <v>173.4</v>
      </c>
      <c r="R29" s="31">
        <f t="shared" si="7"/>
        <v>1.3442431326709593E-2</v>
      </c>
      <c r="S29">
        <v>121.3</v>
      </c>
      <c r="T29" s="31">
        <f t="shared" si="8"/>
        <v>1.0833333333333309E-2</v>
      </c>
      <c r="U29">
        <v>212.9</v>
      </c>
      <c r="V29" s="31">
        <f t="shared" si="9"/>
        <v>1.5259895088221351E-2</v>
      </c>
      <c r="W29">
        <v>172.9</v>
      </c>
      <c r="X29" s="31">
        <f t="shared" si="10"/>
        <v>3.4822983168891135E-3</v>
      </c>
      <c r="Y29">
        <v>193.5</v>
      </c>
      <c r="Z29" s="31">
        <f t="shared" si="11"/>
        <v>2.5906735751295338E-3</v>
      </c>
      <c r="AA29">
        <v>177.9</v>
      </c>
      <c r="AB29" s="31">
        <f t="shared" si="12"/>
        <v>5.0847457627118961E-3</v>
      </c>
      <c r="AC29">
        <v>200.6</v>
      </c>
      <c r="AD29" s="31">
        <f t="shared" si="13"/>
        <v>5.5137844611528536E-3</v>
      </c>
      <c r="AE29">
        <v>186.9</v>
      </c>
      <c r="AF29" s="31">
        <f t="shared" si="14"/>
        <v>4.2987641053197816E-3</v>
      </c>
      <c r="AG29">
        <v>179.2</v>
      </c>
      <c r="AH29" s="31">
        <f t="shared" si="15"/>
        <v>2.7979854504756579E-3</v>
      </c>
      <c r="AI29">
        <v>185.7</v>
      </c>
      <c r="AJ29" s="31">
        <f t="shared" si="16"/>
        <v>3.2414910858994833E-3</v>
      </c>
      <c r="AK29">
        <v>175.2</v>
      </c>
      <c r="AL29" s="31">
        <f t="shared" si="17"/>
        <v>9.7982708933716921E-3</v>
      </c>
      <c r="AM29">
        <v>181.7</v>
      </c>
      <c r="AN29" s="31">
        <f t="shared" si="18"/>
        <v>-1.0995052226499013E-3</v>
      </c>
      <c r="AO29">
        <v>174.6</v>
      </c>
      <c r="AP29" s="31">
        <f t="shared" si="19"/>
        <v>2.2962112514351646E-3</v>
      </c>
      <c r="AQ29">
        <v>185</v>
      </c>
      <c r="AR29" s="31">
        <f t="shared" si="20"/>
        <v>3.2537960954446546E-3</v>
      </c>
      <c r="AS29">
        <v>164.5</v>
      </c>
      <c r="AT29" s="31">
        <f t="shared" si="21"/>
        <v>1.8270401948843567E-3</v>
      </c>
      <c r="AU29">
        <v>170.7</v>
      </c>
      <c r="AV29" s="31">
        <f t="shared" si="22"/>
        <v>2.3487962419258793E-3</v>
      </c>
      <c r="AW29">
        <v>176.4</v>
      </c>
      <c r="AX29" s="31">
        <f t="shared" si="23"/>
        <v>8.0000000000000331E-3</v>
      </c>
      <c r="AY29">
        <v>184</v>
      </c>
      <c r="AZ29" s="31">
        <f t="shared" si="24"/>
        <v>1.6574585635359115E-2</v>
      </c>
      <c r="BA29">
        <v>175</v>
      </c>
      <c r="BB29" s="31">
        <f t="shared" si="25"/>
        <v>5.1694428489374254E-3</v>
      </c>
      <c r="BC29">
        <v>178.1</v>
      </c>
      <c r="BD29" s="31">
        <f t="shared" si="26"/>
        <v>5.0790067720090613E-3</v>
      </c>
      <c r="BE29" s="5">
        <v>84.64</v>
      </c>
      <c r="BF29" s="22">
        <f t="shared" si="27"/>
        <v>7.917888563049845E-2</v>
      </c>
      <c r="BH29" s="17" t="s">
        <v>389</v>
      </c>
      <c r="BI29" s="66">
        <f>CORREL(BF3:BF30,AX3:AX30)</f>
        <v>-0.11151409696861531</v>
      </c>
      <c r="BJ29" s="16" t="s">
        <v>400</v>
      </c>
      <c r="BL29" s="130"/>
      <c r="BM29" s="131"/>
      <c r="BN29" s="131"/>
      <c r="BO29" s="131"/>
      <c r="BP29" s="131"/>
      <c r="BQ29" s="131"/>
      <c r="BR29" s="132"/>
    </row>
    <row r="30" spans="1:70" ht="15" thickBot="1">
      <c r="A30" s="6">
        <v>2023</v>
      </c>
      <c r="B30" s="11" t="s">
        <v>41</v>
      </c>
      <c r="C30" s="11">
        <v>173.7</v>
      </c>
      <c r="D30" s="33">
        <f t="shared" si="0"/>
        <v>-5.7537399309564284E-4</v>
      </c>
      <c r="E30" s="11">
        <v>214.3</v>
      </c>
      <c r="F30" s="33">
        <f t="shared" si="1"/>
        <v>2.3889154323936932E-2</v>
      </c>
      <c r="G30" s="11">
        <v>173.2</v>
      </c>
      <c r="H30" s="33">
        <f t="shared" si="2"/>
        <v>2.122641509433959E-2</v>
      </c>
      <c r="I30" s="11">
        <v>179.5</v>
      </c>
      <c r="J30" s="33">
        <f t="shared" si="3"/>
        <v>6.1659192825111791E-3</v>
      </c>
      <c r="K30" s="11">
        <v>170</v>
      </c>
      <c r="L30" s="33">
        <f t="shared" si="4"/>
        <v>-2.801600914808465E-2</v>
      </c>
      <c r="M30" s="11">
        <v>172.2</v>
      </c>
      <c r="N30" s="33">
        <f t="shared" si="5"/>
        <v>-2.32558139534885E-2</v>
      </c>
      <c r="O30" s="11">
        <v>161</v>
      </c>
      <c r="P30" s="33">
        <f t="shared" si="6"/>
        <v>3.6036036036036001E-2</v>
      </c>
      <c r="Q30" s="11">
        <v>175.6</v>
      </c>
      <c r="R30" s="33">
        <f t="shared" si="7"/>
        <v>1.2687427912341341E-2</v>
      </c>
      <c r="S30" s="11">
        <v>122.7</v>
      </c>
      <c r="T30" s="33">
        <f t="shared" si="8"/>
        <v>1.1541632316570533E-2</v>
      </c>
      <c r="U30" s="11">
        <v>218</v>
      </c>
      <c r="V30" s="33">
        <f t="shared" si="9"/>
        <v>2.3954908407703118E-2</v>
      </c>
      <c r="W30" s="11">
        <v>173.4</v>
      </c>
      <c r="X30" s="33">
        <f t="shared" si="10"/>
        <v>2.8918449971081549E-3</v>
      </c>
      <c r="Y30" s="11">
        <v>194.2</v>
      </c>
      <c r="Z30" s="33">
        <f t="shared" si="11"/>
        <v>3.6175710594314658E-3</v>
      </c>
      <c r="AA30" s="11">
        <v>179.1</v>
      </c>
      <c r="AB30" s="33">
        <f t="shared" si="12"/>
        <v>6.7453625632377095E-3</v>
      </c>
      <c r="AC30" s="11">
        <v>201</v>
      </c>
      <c r="AD30" s="33">
        <f t="shared" si="13"/>
        <v>1.9940179461615439E-3</v>
      </c>
      <c r="AE30" s="11">
        <v>187.3</v>
      </c>
      <c r="AF30" s="33">
        <f t="shared" si="14"/>
        <v>2.1401819154628445E-3</v>
      </c>
      <c r="AG30" s="11">
        <v>179.7</v>
      </c>
      <c r="AH30" s="33">
        <f t="shared" si="15"/>
        <v>2.7901785714285715E-3</v>
      </c>
      <c r="AI30" s="11">
        <v>186.2</v>
      </c>
      <c r="AJ30" s="33">
        <f t="shared" si="16"/>
        <v>2.6925148088314489E-3</v>
      </c>
      <c r="AK30" s="11">
        <v>175.6</v>
      </c>
      <c r="AL30" s="33">
        <f t="shared" si="17"/>
        <v>2.2831050228310826E-3</v>
      </c>
      <c r="AM30" s="11">
        <v>182.8</v>
      </c>
      <c r="AN30" s="33">
        <f t="shared" si="18"/>
        <v>6.0539350577876877E-3</v>
      </c>
      <c r="AO30" s="11">
        <v>175.2</v>
      </c>
      <c r="AP30" s="33">
        <f t="shared" si="19"/>
        <v>3.4364261168384554E-3</v>
      </c>
      <c r="AQ30" s="11">
        <v>185.7</v>
      </c>
      <c r="AR30" s="33">
        <f t="shared" si="20"/>
        <v>3.7837837837837222E-3</v>
      </c>
      <c r="AS30" s="11">
        <v>164.8</v>
      </c>
      <c r="AT30" s="33">
        <f t="shared" si="21"/>
        <v>1.8237082066869992E-3</v>
      </c>
      <c r="AU30" s="11">
        <v>171.2</v>
      </c>
      <c r="AV30" s="33">
        <f t="shared" si="22"/>
        <v>2.9291154071470417E-3</v>
      </c>
      <c r="AW30" s="11">
        <v>177.1</v>
      </c>
      <c r="AX30" s="33">
        <f t="shared" si="23"/>
        <v>3.9682539682539038E-3</v>
      </c>
      <c r="AY30" s="11">
        <v>185.2</v>
      </c>
      <c r="AZ30" s="33">
        <f t="shared" si="24"/>
        <v>6.5217391304347207E-3</v>
      </c>
      <c r="BA30" s="11">
        <v>175.7</v>
      </c>
      <c r="BB30" s="33">
        <f t="shared" si="25"/>
        <v>3.999999999999935E-3</v>
      </c>
      <c r="BC30" s="11">
        <v>179.1</v>
      </c>
      <c r="BD30" s="33">
        <f t="shared" si="26"/>
        <v>5.614823133071308E-3</v>
      </c>
      <c r="BE30" s="7">
        <v>75.47</v>
      </c>
      <c r="BF30" s="23">
        <f t="shared" si="27"/>
        <v>-0.1083412098298677</v>
      </c>
      <c r="BH30" s="17" t="s">
        <v>381</v>
      </c>
      <c r="BI30" s="66">
        <f>CORREL(BF3:BF30,V3:V30)</f>
        <v>-0.17387405597653605</v>
      </c>
      <c r="BJ30" s="16" t="s">
        <v>400</v>
      </c>
      <c r="BL30" s="126" t="s">
        <v>425</v>
      </c>
      <c r="BM30" s="94"/>
      <c r="BN30" s="94"/>
      <c r="BO30" s="94"/>
      <c r="BP30" s="94"/>
      <c r="BQ30" s="94"/>
      <c r="BR30" s="127"/>
    </row>
    <row r="31" spans="1:70" ht="14.25" customHeight="1">
      <c r="BH31" s="17" t="s">
        <v>377</v>
      </c>
      <c r="BI31" s="66">
        <f>CORREL(BF3:BF30,H3:H30)</f>
        <v>-0.18234373711008589</v>
      </c>
      <c r="BJ31" s="16" t="s">
        <v>400</v>
      </c>
      <c r="BL31" s="128"/>
      <c r="BM31" s="95"/>
      <c r="BN31" s="95"/>
      <c r="BO31" s="95"/>
      <c r="BP31" s="95"/>
      <c r="BQ31" s="95"/>
      <c r="BR31" s="129"/>
    </row>
    <row r="32" spans="1:70" ht="15" thickBot="1">
      <c r="BH32" s="17" t="s">
        <v>380</v>
      </c>
      <c r="BI32" s="66">
        <f>CORREL(BF3:BF30,T3:T30)</f>
        <v>-0.20696019510601507</v>
      </c>
      <c r="BJ32" s="16" t="s">
        <v>399</v>
      </c>
      <c r="BL32" s="130"/>
      <c r="BM32" s="131"/>
      <c r="BN32" s="131"/>
      <c r="BO32" s="131"/>
      <c r="BP32" s="131"/>
      <c r="BQ32" s="131"/>
      <c r="BR32" s="132"/>
    </row>
    <row r="33" spans="60:70" ht="14.25" customHeight="1">
      <c r="BH33" s="17" t="s">
        <v>10</v>
      </c>
      <c r="BI33" s="66">
        <f>CORREL(BF3:BF30,R3:R30)</f>
        <v>-0.24691591589843856</v>
      </c>
      <c r="BJ33" s="16" t="s">
        <v>399</v>
      </c>
      <c r="BL33" s="128" t="s">
        <v>426</v>
      </c>
      <c r="BM33" s="95"/>
      <c r="BN33" s="95"/>
      <c r="BO33" s="95"/>
      <c r="BP33" s="95"/>
      <c r="BQ33" s="95"/>
      <c r="BR33" s="129"/>
    </row>
    <row r="34" spans="60:70">
      <c r="BH34" s="17" t="s">
        <v>6</v>
      </c>
      <c r="BI34" s="66">
        <f>CORREL(BF3:BF30,J3:J30)</f>
        <v>-0.27544097939495732</v>
      </c>
      <c r="BJ34" s="16" t="s">
        <v>399</v>
      </c>
      <c r="BL34" s="128"/>
      <c r="BM34" s="95"/>
      <c r="BN34" s="95"/>
      <c r="BO34" s="95"/>
      <c r="BP34" s="95"/>
      <c r="BQ34" s="95"/>
      <c r="BR34" s="129"/>
    </row>
    <row r="35" spans="60:70" ht="14.7" customHeight="1" thickBot="1">
      <c r="BH35" s="19" t="s">
        <v>375</v>
      </c>
      <c r="BI35" s="67">
        <f>CORREL(BF3:BF30,D3:D30)</f>
        <v>-0.28408961542468136</v>
      </c>
      <c r="BJ35" s="18" t="s">
        <v>399</v>
      </c>
      <c r="BL35" s="130"/>
      <c r="BM35" s="131"/>
      <c r="BN35" s="131"/>
      <c r="BO35" s="131"/>
      <c r="BP35" s="131"/>
      <c r="BQ35" s="131"/>
      <c r="BR35" s="132"/>
    </row>
  </sheetData>
  <sortState xmlns:xlrd2="http://schemas.microsoft.com/office/spreadsheetml/2017/richdata2" ref="BH9:BJ35">
    <sortCondition descending="1" ref="BI9:BI35"/>
  </sortState>
  <mergeCells count="5">
    <mergeCell ref="BH3:BI6"/>
    <mergeCell ref="BL25:BR26"/>
    <mergeCell ref="BL27:BR29"/>
    <mergeCell ref="BL30:BR32"/>
    <mergeCell ref="BL33:BR35"/>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33736D-129A-49BA-8CD5-FCA1207B25D5}">
  <dimension ref="C1:N66"/>
  <sheetViews>
    <sheetView tabSelected="1" zoomScale="70" zoomScaleNormal="70" workbookViewId="0">
      <selection activeCell="S35" sqref="S35"/>
    </sheetView>
  </sheetViews>
  <sheetFormatPr defaultRowHeight="14.6"/>
  <cols>
    <col min="3" max="3" width="8.3828125" customWidth="1"/>
    <col min="6" max="6" width="11.53515625" customWidth="1"/>
    <col min="14" max="14" width="10.15234375" customWidth="1"/>
  </cols>
  <sheetData>
    <row r="1" spans="3:14" ht="15" thickBot="1"/>
    <row r="2" spans="3:14" ht="15" thickBot="1">
      <c r="C2" s="51"/>
      <c r="D2" s="52"/>
      <c r="E2" s="52"/>
      <c r="F2" s="52"/>
      <c r="G2" s="52"/>
      <c r="H2" s="52"/>
      <c r="I2" s="52"/>
      <c r="J2" s="52"/>
      <c r="K2" s="52"/>
      <c r="L2" s="52"/>
      <c r="M2" s="52"/>
      <c r="N2" s="53"/>
    </row>
    <row r="3" spans="3:14">
      <c r="C3" s="4"/>
      <c r="D3" s="133" t="s">
        <v>314</v>
      </c>
      <c r="E3" s="134"/>
      <c r="F3" s="134"/>
      <c r="G3" s="134"/>
      <c r="H3" s="134"/>
      <c r="I3" s="134"/>
      <c r="J3" s="134"/>
      <c r="K3" s="134"/>
      <c r="L3" s="134"/>
      <c r="M3" s="135"/>
      <c r="N3" s="5"/>
    </row>
    <row r="4" spans="3:14">
      <c r="C4" s="4"/>
      <c r="D4" s="136"/>
      <c r="E4" s="137"/>
      <c r="F4" s="137"/>
      <c r="G4" s="137"/>
      <c r="H4" s="137"/>
      <c r="I4" s="137"/>
      <c r="J4" s="137"/>
      <c r="K4" s="137"/>
      <c r="L4" s="137"/>
      <c r="M4" s="138"/>
      <c r="N4" s="5"/>
    </row>
    <row r="5" spans="3:14" ht="15" thickBot="1">
      <c r="C5" s="4"/>
      <c r="D5" s="139"/>
      <c r="E5" s="140"/>
      <c r="F5" s="140"/>
      <c r="G5" s="140"/>
      <c r="H5" s="140"/>
      <c r="I5" s="140"/>
      <c r="J5" s="140"/>
      <c r="K5" s="140"/>
      <c r="L5" s="140"/>
      <c r="M5" s="141"/>
      <c r="N5" s="5"/>
    </row>
    <row r="6" spans="3:14" ht="15" thickBot="1">
      <c r="C6" s="4"/>
      <c r="N6" s="5"/>
    </row>
    <row r="7" spans="3:14">
      <c r="C7" s="4"/>
      <c r="F7" s="142" t="s">
        <v>315</v>
      </c>
      <c r="G7" s="143"/>
      <c r="H7" s="143"/>
      <c r="I7" s="143"/>
      <c r="J7" s="143"/>
      <c r="K7" s="144"/>
      <c r="N7" s="5"/>
    </row>
    <row r="8" spans="3:14" ht="15" thickBot="1">
      <c r="C8" s="4"/>
      <c r="F8" s="145"/>
      <c r="G8" s="146"/>
      <c r="H8" s="146"/>
      <c r="I8" s="146"/>
      <c r="J8" s="146"/>
      <c r="K8" s="147"/>
      <c r="N8" s="5"/>
    </row>
    <row r="9" spans="3:14" ht="15" thickBot="1">
      <c r="C9" s="4"/>
      <c r="N9" s="5"/>
    </row>
    <row r="10" spans="3:14">
      <c r="C10" s="4"/>
      <c r="D10" s="148" t="s">
        <v>316</v>
      </c>
      <c r="E10" s="149"/>
      <c r="F10" s="149"/>
      <c r="G10" s="149"/>
      <c r="H10" s="149"/>
      <c r="I10" s="149"/>
      <c r="J10" s="149"/>
      <c r="K10" s="149"/>
      <c r="L10" s="149"/>
      <c r="M10" s="150"/>
      <c r="N10" s="5"/>
    </row>
    <row r="11" spans="3:14">
      <c r="C11" s="4"/>
      <c r="D11" s="151"/>
      <c r="E11" s="152"/>
      <c r="F11" s="152"/>
      <c r="G11" s="152"/>
      <c r="H11" s="152"/>
      <c r="I11" s="152"/>
      <c r="J11" s="152"/>
      <c r="K11" s="152"/>
      <c r="L11" s="152"/>
      <c r="M11" s="153"/>
      <c r="N11" s="5"/>
    </row>
    <row r="12" spans="3:14">
      <c r="C12" s="4"/>
      <c r="D12" s="151"/>
      <c r="E12" s="152"/>
      <c r="F12" s="152"/>
      <c r="G12" s="152"/>
      <c r="H12" s="152"/>
      <c r="I12" s="152"/>
      <c r="J12" s="152"/>
      <c r="K12" s="152"/>
      <c r="L12" s="152"/>
      <c r="M12" s="153"/>
      <c r="N12" s="5"/>
    </row>
    <row r="13" spans="3:14">
      <c r="C13" s="4"/>
      <c r="D13" s="151"/>
      <c r="E13" s="152"/>
      <c r="F13" s="152"/>
      <c r="G13" s="152"/>
      <c r="H13" s="152"/>
      <c r="I13" s="152"/>
      <c r="J13" s="152"/>
      <c r="K13" s="152"/>
      <c r="L13" s="152"/>
      <c r="M13" s="153"/>
      <c r="N13" s="5"/>
    </row>
    <row r="14" spans="3:14">
      <c r="C14" s="4"/>
      <c r="D14" s="151"/>
      <c r="E14" s="152"/>
      <c r="F14" s="152"/>
      <c r="G14" s="152"/>
      <c r="H14" s="152"/>
      <c r="I14" s="152"/>
      <c r="J14" s="152"/>
      <c r="K14" s="152"/>
      <c r="L14" s="152"/>
      <c r="M14" s="153"/>
      <c r="N14" s="5"/>
    </row>
    <row r="15" spans="3:14" ht="15" thickBot="1">
      <c r="C15" s="4"/>
      <c r="D15" s="154"/>
      <c r="E15" s="155"/>
      <c r="F15" s="155"/>
      <c r="G15" s="155"/>
      <c r="H15" s="155"/>
      <c r="I15" s="155"/>
      <c r="J15" s="155"/>
      <c r="K15" s="155"/>
      <c r="L15" s="155"/>
      <c r="M15" s="156"/>
      <c r="N15" s="5"/>
    </row>
    <row r="16" spans="3:14" ht="15" thickBot="1">
      <c r="C16" s="6"/>
      <c r="D16" s="11"/>
      <c r="E16" s="11"/>
      <c r="F16" s="11"/>
      <c r="G16" s="11"/>
      <c r="H16" s="11"/>
      <c r="I16" s="11"/>
      <c r="J16" s="11"/>
      <c r="K16" s="11"/>
      <c r="L16" s="11"/>
      <c r="M16" s="11"/>
      <c r="N16" s="7"/>
    </row>
    <row r="17" spans="3:14" ht="15" thickBot="1"/>
    <row r="18" spans="3:14" ht="15" thickBot="1">
      <c r="C18" s="51"/>
      <c r="D18" s="52"/>
      <c r="E18" s="52"/>
      <c r="F18" s="52"/>
      <c r="G18" s="52"/>
      <c r="H18" s="53"/>
      <c r="I18" s="51"/>
      <c r="J18" s="52"/>
      <c r="K18" s="52"/>
      <c r="L18" s="52"/>
      <c r="M18" s="52"/>
      <c r="N18" s="53"/>
    </row>
    <row r="19" spans="3:14" ht="21" thickBot="1">
      <c r="C19" s="4"/>
      <c r="D19" s="157" t="s">
        <v>317</v>
      </c>
      <c r="E19" s="158"/>
      <c r="F19" s="158"/>
      <c r="G19" s="159"/>
      <c r="H19" s="5"/>
      <c r="I19" s="4"/>
      <c r="J19" s="157" t="s">
        <v>318</v>
      </c>
      <c r="K19" s="158"/>
      <c r="L19" s="158"/>
      <c r="M19" s="159"/>
      <c r="N19" s="5"/>
    </row>
    <row r="20" spans="3:14">
      <c r="C20" s="4"/>
      <c r="H20" s="5"/>
      <c r="I20" s="4"/>
      <c r="N20" s="5"/>
    </row>
    <row r="21" spans="3:14">
      <c r="C21" s="160" t="s">
        <v>319</v>
      </c>
      <c r="D21" s="161"/>
      <c r="E21" s="161"/>
      <c r="F21" s="161"/>
      <c r="G21" s="161"/>
      <c r="H21" s="162"/>
      <c r="I21" s="160" t="s">
        <v>327</v>
      </c>
      <c r="J21" s="161"/>
      <c r="K21" s="161"/>
      <c r="L21" s="68"/>
      <c r="M21" s="173" t="s">
        <v>324</v>
      </c>
      <c r="N21" s="174"/>
    </row>
    <row r="22" spans="3:14">
      <c r="C22" s="54"/>
      <c r="D22" s="55"/>
      <c r="E22" s="55"/>
      <c r="F22" s="55"/>
      <c r="G22" s="55"/>
      <c r="H22" s="56"/>
      <c r="I22" s="54"/>
      <c r="J22" s="55"/>
      <c r="K22" s="55"/>
      <c r="L22" s="57"/>
      <c r="M22" s="57"/>
      <c r="N22" s="58"/>
    </row>
    <row r="23" spans="3:14">
      <c r="C23" s="160" t="s">
        <v>320</v>
      </c>
      <c r="D23" s="161"/>
      <c r="E23" s="161"/>
      <c r="F23" s="161"/>
      <c r="G23" s="161"/>
      <c r="H23" s="162"/>
      <c r="I23" s="160" t="s">
        <v>328</v>
      </c>
      <c r="J23" s="161"/>
      <c r="K23" s="161"/>
      <c r="L23" s="68"/>
      <c r="M23" s="173" t="s">
        <v>325</v>
      </c>
      <c r="N23" s="174"/>
    </row>
    <row r="24" spans="3:14">
      <c r="C24" s="54"/>
      <c r="D24" s="55"/>
      <c r="E24" s="55"/>
      <c r="F24" s="55"/>
      <c r="G24" s="55"/>
      <c r="H24" s="56"/>
      <c r="I24" s="54"/>
      <c r="J24" s="55"/>
      <c r="K24" s="55"/>
      <c r="L24" s="57"/>
      <c r="M24" s="57"/>
      <c r="N24" s="58"/>
    </row>
    <row r="25" spans="3:14">
      <c r="C25" s="160" t="s">
        <v>321</v>
      </c>
      <c r="D25" s="161"/>
      <c r="E25" s="161"/>
      <c r="F25" s="161"/>
      <c r="G25" s="161"/>
      <c r="H25" s="162"/>
      <c r="I25" s="160" t="s">
        <v>329</v>
      </c>
      <c r="J25" s="161"/>
      <c r="K25" s="161"/>
      <c r="L25" s="68"/>
      <c r="M25" s="173" t="s">
        <v>326</v>
      </c>
      <c r="N25" s="174"/>
    </row>
    <row r="26" spans="3:14">
      <c r="C26" s="54"/>
      <c r="D26" s="55"/>
      <c r="E26" s="55"/>
      <c r="F26" s="55"/>
      <c r="G26" s="55"/>
      <c r="H26" s="56"/>
      <c r="I26" s="54"/>
      <c r="J26" s="55"/>
      <c r="K26" s="55"/>
      <c r="L26" s="57"/>
      <c r="M26" s="57"/>
      <c r="N26" s="58"/>
    </row>
    <row r="27" spans="3:14">
      <c r="C27" s="160" t="s">
        <v>322</v>
      </c>
      <c r="D27" s="161"/>
      <c r="E27" s="161"/>
      <c r="F27" s="161"/>
      <c r="G27" s="161"/>
      <c r="H27" s="162"/>
      <c r="I27" s="160" t="s">
        <v>330</v>
      </c>
      <c r="J27" s="161"/>
      <c r="K27" s="161"/>
      <c r="L27" s="68"/>
      <c r="M27" s="173" t="s">
        <v>403</v>
      </c>
      <c r="N27" s="174"/>
    </row>
    <row r="28" spans="3:14">
      <c r="C28" s="54"/>
      <c r="D28" s="55"/>
      <c r="E28" s="55"/>
      <c r="F28" s="55"/>
      <c r="G28" s="55"/>
      <c r="H28" s="56"/>
      <c r="I28" s="54"/>
      <c r="J28" s="55"/>
      <c r="K28" s="55"/>
      <c r="L28" s="57"/>
      <c r="M28" s="57"/>
      <c r="N28" s="58"/>
    </row>
    <row r="29" spans="3:14">
      <c r="C29" s="160" t="s">
        <v>323</v>
      </c>
      <c r="D29" s="161"/>
      <c r="E29" s="161"/>
      <c r="F29" s="161"/>
      <c r="G29" s="161"/>
      <c r="H29" s="162"/>
      <c r="I29" s="160" t="s">
        <v>331</v>
      </c>
      <c r="J29" s="161"/>
      <c r="K29" s="161"/>
      <c r="L29" s="68"/>
      <c r="M29" s="173" t="s">
        <v>406</v>
      </c>
      <c r="N29" s="174"/>
    </row>
    <row r="30" spans="3:14">
      <c r="C30" s="54"/>
      <c r="D30" s="55"/>
      <c r="E30" s="55"/>
      <c r="F30" s="55"/>
      <c r="G30" s="55"/>
      <c r="H30" s="56"/>
      <c r="I30" s="54"/>
      <c r="J30" s="55"/>
      <c r="K30" s="55"/>
      <c r="L30" s="57"/>
      <c r="M30" s="57"/>
      <c r="N30" s="58"/>
    </row>
    <row r="31" spans="3:14">
      <c r="C31" s="170" t="s">
        <v>402</v>
      </c>
      <c r="D31" s="171"/>
      <c r="E31" s="171"/>
      <c r="F31" s="171"/>
      <c r="G31" s="171"/>
      <c r="H31" s="172"/>
      <c r="I31" s="160" t="s">
        <v>332</v>
      </c>
      <c r="J31" s="161"/>
      <c r="K31" s="161"/>
      <c r="L31" s="175" t="s">
        <v>409</v>
      </c>
      <c r="M31" s="175"/>
      <c r="N31" s="176"/>
    </row>
    <row r="32" spans="3:14">
      <c r="C32" s="170"/>
      <c r="D32" s="171"/>
      <c r="E32" s="171"/>
      <c r="F32" s="171"/>
      <c r="G32" s="171"/>
      <c r="H32" s="172"/>
      <c r="I32" s="4"/>
      <c r="L32" s="57"/>
      <c r="M32" s="57"/>
      <c r="N32" s="58"/>
    </row>
    <row r="33" spans="3:14">
      <c r="C33" s="170"/>
      <c r="D33" s="171"/>
      <c r="E33" s="171"/>
      <c r="F33" s="171"/>
      <c r="G33" s="171"/>
      <c r="H33" s="172"/>
      <c r="I33" s="160" t="s">
        <v>411</v>
      </c>
      <c r="J33" s="161"/>
      <c r="K33" s="161"/>
      <c r="L33" s="161"/>
      <c r="M33" s="173" t="s">
        <v>404</v>
      </c>
      <c r="N33" s="174"/>
    </row>
    <row r="34" spans="3:14" ht="15" thickBot="1">
      <c r="C34" s="6"/>
      <c r="D34" s="11"/>
      <c r="E34" s="11"/>
      <c r="F34" s="11"/>
      <c r="G34" s="11"/>
      <c r="H34" s="7"/>
      <c r="I34" s="84" t="s">
        <v>412</v>
      </c>
      <c r="J34" s="85"/>
      <c r="K34" s="85"/>
      <c r="L34" s="85"/>
      <c r="M34" s="177" t="s">
        <v>405</v>
      </c>
      <c r="N34" s="178"/>
    </row>
    <row r="35" spans="3:14" ht="15" thickBot="1"/>
    <row r="36" spans="3:14" ht="15" thickBot="1">
      <c r="C36" s="51"/>
      <c r="D36" s="52"/>
      <c r="E36" s="52"/>
      <c r="F36" s="52"/>
      <c r="G36" s="52"/>
      <c r="H36" s="52"/>
      <c r="I36" s="52"/>
      <c r="J36" s="52"/>
      <c r="K36" s="52"/>
      <c r="L36" s="52"/>
      <c r="M36" s="52"/>
      <c r="N36" s="53"/>
    </row>
    <row r="37" spans="3:14" ht="14.25" customHeight="1">
      <c r="C37" s="4"/>
      <c r="G37" s="164" t="s">
        <v>333</v>
      </c>
      <c r="H37" s="165"/>
      <c r="I37" s="165"/>
      <c r="J37" s="166"/>
      <c r="N37" s="5"/>
    </row>
    <row r="38" spans="3:14" ht="14.7" customHeight="1" thickBot="1">
      <c r="C38" s="4"/>
      <c r="G38" s="167"/>
      <c r="H38" s="168"/>
      <c r="I38" s="168"/>
      <c r="J38" s="169"/>
      <c r="N38" s="5"/>
    </row>
    <row r="39" spans="3:14">
      <c r="C39" s="4"/>
      <c r="N39" s="5"/>
    </row>
    <row r="40" spans="3:14">
      <c r="C40" s="4"/>
      <c r="D40" s="163" t="s">
        <v>339</v>
      </c>
      <c r="E40" s="163"/>
      <c r="F40" s="163"/>
      <c r="G40" s="161" t="s">
        <v>334</v>
      </c>
      <c r="H40" s="161"/>
      <c r="I40" s="161"/>
      <c r="J40" s="161"/>
      <c r="K40" s="161"/>
      <c r="L40" s="161"/>
      <c r="M40" s="161"/>
      <c r="N40" s="69"/>
    </row>
    <row r="41" spans="3:14">
      <c r="C41" s="4"/>
      <c r="D41" s="57"/>
      <c r="E41" s="57"/>
      <c r="F41" s="57"/>
      <c r="G41" s="3"/>
      <c r="H41" s="55"/>
      <c r="I41" s="55"/>
      <c r="J41" s="55"/>
      <c r="K41" s="55"/>
      <c r="L41" s="55"/>
      <c r="M41" s="55"/>
      <c r="N41" s="69"/>
    </row>
    <row r="42" spans="3:14">
      <c r="C42" s="4"/>
      <c r="D42" s="163" t="s">
        <v>340</v>
      </c>
      <c r="E42" s="163"/>
      <c r="F42" s="163"/>
      <c r="G42" s="161" t="s">
        <v>335</v>
      </c>
      <c r="H42" s="161"/>
      <c r="I42" s="161"/>
      <c r="J42" s="161"/>
      <c r="K42" s="161"/>
      <c r="L42" s="161"/>
      <c r="M42" s="161"/>
      <c r="N42" s="69"/>
    </row>
    <row r="43" spans="3:14">
      <c r="C43" s="4"/>
      <c r="D43" s="57"/>
      <c r="E43" s="57"/>
      <c r="F43" s="57"/>
      <c r="G43" s="3"/>
      <c r="H43" s="55"/>
      <c r="I43" s="55"/>
      <c r="J43" s="55"/>
      <c r="K43" s="55"/>
      <c r="L43" s="55"/>
      <c r="M43" s="55"/>
      <c r="N43" s="69"/>
    </row>
    <row r="44" spans="3:14">
      <c r="C44" s="4"/>
      <c r="D44" s="163" t="s">
        <v>341</v>
      </c>
      <c r="E44" s="163"/>
      <c r="F44" s="163"/>
      <c r="G44" s="161" t="s">
        <v>336</v>
      </c>
      <c r="H44" s="161"/>
      <c r="I44" s="161"/>
      <c r="J44" s="161"/>
      <c r="K44" s="161"/>
      <c r="L44" s="161"/>
      <c r="M44" s="161"/>
      <c r="N44" s="69"/>
    </row>
    <row r="45" spans="3:14">
      <c r="C45" s="4"/>
      <c r="D45" s="57"/>
      <c r="E45" s="57"/>
      <c r="F45" s="57"/>
      <c r="G45" s="3"/>
      <c r="H45" s="55"/>
      <c r="I45" s="55"/>
      <c r="J45" s="55"/>
      <c r="K45" s="55"/>
      <c r="L45" s="55"/>
      <c r="M45" s="55"/>
      <c r="N45" s="69"/>
    </row>
    <row r="46" spans="3:14">
      <c r="C46" s="4"/>
      <c r="D46" s="163" t="s">
        <v>410</v>
      </c>
      <c r="E46" s="163"/>
      <c r="F46" s="163"/>
      <c r="G46" s="161" t="s">
        <v>337</v>
      </c>
      <c r="H46" s="161"/>
      <c r="I46" s="161"/>
      <c r="J46" s="161"/>
      <c r="K46" s="161"/>
      <c r="L46" s="161"/>
      <c r="M46" s="161"/>
      <c r="N46" s="69"/>
    </row>
    <row r="47" spans="3:14">
      <c r="C47" s="4"/>
      <c r="D47" s="57"/>
      <c r="E47" s="57"/>
      <c r="F47" s="57"/>
      <c r="G47" s="3"/>
      <c r="H47" s="55"/>
      <c r="I47" s="55"/>
      <c r="J47" s="55"/>
      <c r="K47" s="55"/>
      <c r="L47" s="55"/>
      <c r="M47" s="55"/>
      <c r="N47" s="69"/>
    </row>
    <row r="48" spans="3:14">
      <c r="C48" s="4"/>
      <c r="D48" s="163" t="s">
        <v>342</v>
      </c>
      <c r="E48" s="163"/>
      <c r="F48" s="163"/>
      <c r="G48" s="161" t="s">
        <v>338</v>
      </c>
      <c r="H48" s="161"/>
      <c r="I48" s="161"/>
      <c r="J48" s="161"/>
      <c r="K48" s="161"/>
      <c r="L48" s="161"/>
      <c r="M48" s="161"/>
      <c r="N48" s="69"/>
    </row>
    <row r="49" spans="3:14">
      <c r="C49" s="4"/>
      <c r="D49" s="57"/>
      <c r="E49" s="57"/>
      <c r="F49" s="57"/>
      <c r="G49" s="3"/>
      <c r="H49" s="55"/>
      <c r="I49" s="55"/>
      <c r="J49" s="55"/>
      <c r="K49" s="55"/>
      <c r="L49" s="55"/>
      <c r="M49" s="55"/>
      <c r="N49" s="69"/>
    </row>
    <row r="50" spans="3:14" ht="14.25" customHeight="1">
      <c r="C50" s="4"/>
      <c r="D50" s="163" t="s">
        <v>343</v>
      </c>
      <c r="E50" s="163"/>
      <c r="F50" s="163"/>
      <c r="G50" s="95" t="s">
        <v>407</v>
      </c>
      <c r="H50" s="95"/>
      <c r="I50" s="95"/>
      <c r="J50" s="95"/>
      <c r="K50" s="95"/>
      <c r="L50" s="95"/>
      <c r="M50" s="95"/>
      <c r="N50" s="129"/>
    </row>
    <row r="51" spans="3:14" ht="15" thickBot="1">
      <c r="C51" s="6"/>
      <c r="D51" s="11"/>
      <c r="E51" s="11"/>
      <c r="F51" s="11"/>
      <c r="G51" s="131"/>
      <c r="H51" s="131"/>
      <c r="I51" s="131"/>
      <c r="J51" s="131"/>
      <c r="K51" s="131"/>
      <c r="L51" s="131"/>
      <c r="M51" s="131"/>
      <c r="N51" s="132"/>
    </row>
    <row r="52" spans="3:14" ht="15" thickBot="1"/>
    <row r="53" spans="3:14" ht="15" thickBot="1">
      <c r="C53" s="51"/>
      <c r="D53" s="52"/>
      <c r="E53" s="52"/>
      <c r="F53" s="52"/>
      <c r="G53" s="52"/>
      <c r="H53" s="52"/>
      <c r="I53" s="52"/>
      <c r="J53" s="52"/>
      <c r="K53" s="52"/>
      <c r="L53" s="52"/>
      <c r="M53" s="52"/>
      <c r="N53" s="53"/>
    </row>
    <row r="54" spans="3:14" ht="14.25" customHeight="1">
      <c r="C54" s="4"/>
      <c r="G54" s="164" t="s">
        <v>344</v>
      </c>
      <c r="H54" s="134"/>
      <c r="I54" s="134"/>
      <c r="J54" s="135"/>
      <c r="N54" s="5"/>
    </row>
    <row r="55" spans="3:14" ht="15" thickBot="1">
      <c r="C55" s="4"/>
      <c r="G55" s="139"/>
      <c r="H55" s="140"/>
      <c r="I55" s="140"/>
      <c r="J55" s="141"/>
      <c r="N55" s="5"/>
    </row>
    <row r="56" spans="3:14" ht="15" thickBot="1">
      <c r="C56" s="4"/>
      <c r="N56" s="5"/>
    </row>
    <row r="57" spans="3:14">
      <c r="C57" s="4"/>
      <c r="D57" s="148" t="s">
        <v>408</v>
      </c>
      <c r="E57" s="149"/>
      <c r="F57" s="149"/>
      <c r="G57" s="149"/>
      <c r="H57" s="149"/>
      <c r="I57" s="149"/>
      <c r="J57" s="149"/>
      <c r="K57" s="149"/>
      <c r="L57" s="149"/>
      <c r="M57" s="150"/>
      <c r="N57" s="5"/>
    </row>
    <row r="58" spans="3:14">
      <c r="C58" s="4"/>
      <c r="D58" s="151"/>
      <c r="E58" s="152"/>
      <c r="F58" s="152"/>
      <c r="G58" s="152"/>
      <c r="H58" s="152"/>
      <c r="I58" s="152"/>
      <c r="J58" s="152"/>
      <c r="K58" s="152"/>
      <c r="L58" s="152"/>
      <c r="M58" s="153"/>
      <c r="N58" s="5"/>
    </row>
    <row r="59" spans="3:14">
      <c r="C59" s="4"/>
      <c r="D59" s="151"/>
      <c r="E59" s="152"/>
      <c r="F59" s="152"/>
      <c r="G59" s="152"/>
      <c r="H59" s="152"/>
      <c r="I59" s="152"/>
      <c r="J59" s="152"/>
      <c r="K59" s="152"/>
      <c r="L59" s="152"/>
      <c r="M59" s="153"/>
      <c r="N59" s="5"/>
    </row>
    <row r="60" spans="3:14">
      <c r="C60" s="4"/>
      <c r="D60" s="151"/>
      <c r="E60" s="152"/>
      <c r="F60" s="152"/>
      <c r="G60" s="152"/>
      <c r="H60" s="152"/>
      <c r="I60" s="152"/>
      <c r="J60" s="152"/>
      <c r="K60" s="152"/>
      <c r="L60" s="152"/>
      <c r="M60" s="153"/>
      <c r="N60" s="5"/>
    </row>
    <row r="61" spans="3:14">
      <c r="C61" s="4"/>
      <c r="D61" s="151"/>
      <c r="E61" s="152"/>
      <c r="F61" s="152"/>
      <c r="G61" s="152"/>
      <c r="H61" s="152"/>
      <c r="I61" s="152"/>
      <c r="J61" s="152"/>
      <c r="K61" s="152"/>
      <c r="L61" s="152"/>
      <c r="M61" s="153"/>
      <c r="N61" s="5"/>
    </row>
    <row r="62" spans="3:14">
      <c r="C62" s="4"/>
      <c r="D62" s="151"/>
      <c r="E62" s="152"/>
      <c r="F62" s="152"/>
      <c r="G62" s="152"/>
      <c r="H62" s="152"/>
      <c r="I62" s="152"/>
      <c r="J62" s="152"/>
      <c r="K62" s="152"/>
      <c r="L62" s="152"/>
      <c r="M62" s="153"/>
      <c r="N62" s="5"/>
    </row>
    <row r="63" spans="3:14">
      <c r="C63" s="4"/>
      <c r="D63" s="151"/>
      <c r="E63" s="152"/>
      <c r="F63" s="152"/>
      <c r="G63" s="152"/>
      <c r="H63" s="152"/>
      <c r="I63" s="152"/>
      <c r="J63" s="152"/>
      <c r="K63" s="152"/>
      <c r="L63" s="152"/>
      <c r="M63" s="153"/>
      <c r="N63" s="5"/>
    </row>
    <row r="64" spans="3:14">
      <c r="C64" s="4"/>
      <c r="D64" s="151"/>
      <c r="E64" s="152"/>
      <c r="F64" s="152"/>
      <c r="G64" s="152"/>
      <c r="H64" s="152"/>
      <c r="I64" s="152"/>
      <c r="J64" s="152"/>
      <c r="K64" s="152"/>
      <c r="L64" s="152"/>
      <c r="M64" s="153"/>
      <c r="N64" s="5"/>
    </row>
    <row r="65" spans="3:14" ht="15" thickBot="1">
      <c r="C65" s="4"/>
      <c r="D65" s="154"/>
      <c r="E65" s="155"/>
      <c r="F65" s="155"/>
      <c r="G65" s="155"/>
      <c r="H65" s="155"/>
      <c r="I65" s="155"/>
      <c r="J65" s="155"/>
      <c r="K65" s="155"/>
      <c r="L65" s="155"/>
      <c r="M65" s="156"/>
      <c r="N65" s="5"/>
    </row>
    <row r="66" spans="3:14" ht="15" thickBot="1">
      <c r="C66" s="6"/>
      <c r="D66" s="11"/>
      <c r="E66" s="11"/>
      <c r="F66" s="11"/>
      <c r="G66" s="11"/>
      <c r="H66" s="11"/>
      <c r="I66" s="11"/>
      <c r="J66" s="11"/>
      <c r="K66" s="11"/>
      <c r="L66" s="11"/>
      <c r="M66" s="11"/>
      <c r="N66" s="7"/>
    </row>
  </sheetData>
  <mergeCells count="42">
    <mergeCell ref="M34:N34"/>
    <mergeCell ref="G50:N51"/>
    <mergeCell ref="G48:M48"/>
    <mergeCell ref="G46:M46"/>
    <mergeCell ref="G44:M44"/>
    <mergeCell ref="G42:M42"/>
    <mergeCell ref="G40:M40"/>
    <mergeCell ref="M33:N33"/>
    <mergeCell ref="M21:N21"/>
    <mergeCell ref="M23:N23"/>
    <mergeCell ref="M25:N25"/>
    <mergeCell ref="M27:N27"/>
    <mergeCell ref="M29:N29"/>
    <mergeCell ref="L31:N31"/>
    <mergeCell ref="G54:J55"/>
    <mergeCell ref="D57:M65"/>
    <mergeCell ref="D46:F46"/>
    <mergeCell ref="D48:F48"/>
    <mergeCell ref="D50:F50"/>
    <mergeCell ref="D40:F40"/>
    <mergeCell ref="D42:F42"/>
    <mergeCell ref="D44:F44"/>
    <mergeCell ref="G37:J38"/>
    <mergeCell ref="C27:H27"/>
    <mergeCell ref="I27:K27"/>
    <mergeCell ref="C29:H29"/>
    <mergeCell ref="I29:K29"/>
    <mergeCell ref="I31:K31"/>
    <mergeCell ref="C31:H33"/>
    <mergeCell ref="I33:L33"/>
    <mergeCell ref="I34:L34"/>
    <mergeCell ref="C23:H23"/>
    <mergeCell ref="I23:K23"/>
    <mergeCell ref="C25:H25"/>
    <mergeCell ref="I25:K25"/>
    <mergeCell ref="C21:H21"/>
    <mergeCell ref="I21:K21"/>
    <mergeCell ref="D3:M5"/>
    <mergeCell ref="F7:K8"/>
    <mergeCell ref="D10:M15"/>
    <mergeCell ref="D19:G19"/>
    <mergeCell ref="J19:M19"/>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3A26B164-47F4-444A-9245-18A5333582BC}">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Sheet1</vt:lpstr>
      <vt:lpstr>CPI</vt:lpstr>
      <vt:lpstr>category</vt:lpstr>
      <vt:lpstr>1.category-subcategory</vt:lpstr>
      <vt:lpstr>Ques 1</vt:lpstr>
      <vt:lpstr>CPI (2)</vt:lpstr>
      <vt:lpstr>Ques 2</vt:lpstr>
      <vt:lpstr>Ques3 A</vt:lpstr>
      <vt:lpstr>Ques3 B</vt:lpstr>
      <vt:lpstr>Ques 4</vt:lpstr>
      <vt:lpstr>Ques 5 Category</vt:lpstr>
      <vt:lpstr>Ques 5 Subategory</vt:lpstr>
      <vt:lpstr>Project Summary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Parth Dhawan</dc:creator>
  <cp:lastModifiedBy>parth dhawan</cp:lastModifiedBy>
  <dcterms:created xsi:type="dcterms:W3CDTF">2026-07-20T08:11:54Z</dcterms:created>
  <dcterms:modified xsi:type="dcterms:W3CDTF">2026-09-05T12:04:03Z</dcterms:modified>
</cp:coreProperties>
</file>